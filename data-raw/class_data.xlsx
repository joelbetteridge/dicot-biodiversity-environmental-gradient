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vln522_york_ac_uk/Documents/r/BABS4/e/exam/data-raw/"/>
    </mc:Choice>
  </mc:AlternateContent>
  <xr:revisionPtr revIDLastSave="0" documentId="8_{DB2A4FEA-A87D-4425-A504-B2002D4C944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mpleClassDataSet2526" sheetId="1" r:id="rId1"/>
    <sheet name="examples and explan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" l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<sst xmlns="http://schemas.openxmlformats.org/spreadsheetml/2006/main" count="124" uniqueCount="49">
  <si>
    <t>SampleID</t>
  </si>
  <si>
    <t>GroupName</t>
  </si>
  <si>
    <t>Position</t>
  </si>
  <si>
    <t>temperature</t>
  </si>
  <si>
    <t>moisture</t>
  </si>
  <si>
    <t>SpeciesA</t>
  </si>
  <si>
    <t>SpeciesB</t>
  </si>
  <si>
    <t>SpeciesC</t>
  </si>
  <si>
    <t>SpeciesD</t>
  </si>
  <si>
    <t>SpeciesE</t>
  </si>
  <si>
    <t>SpeciesF</t>
  </si>
  <si>
    <t>SpeciesG</t>
  </si>
  <si>
    <t>SpeciesH</t>
  </si>
  <si>
    <t>SpeciesI</t>
  </si>
  <si>
    <t>SpeciesJ</t>
  </si>
  <si>
    <t>SpeciesK</t>
  </si>
  <si>
    <t>Erin, Tyler, Josie, amelia</t>
  </si>
  <si>
    <t>Maisie,Zara,Laura,Alligin</t>
  </si>
  <si>
    <t>Alice. Liz, Marcie, Vivien</t>
  </si>
  <si>
    <t>Verity, Terri, Hattie, Alissa, Johny</t>
  </si>
  <si>
    <t>Reuben, Katherine, Molly, Emily</t>
  </si>
  <si>
    <t>Ben, Oli, Izzy, Bea</t>
  </si>
  <si>
    <t>Daniel, Ellen, Ethan, Serhen</t>
  </si>
  <si>
    <t>Aura, Ariane, Vi, Lucy, Katie-Mae</t>
  </si>
  <si>
    <t xml:space="preserve">Francis, Susanna, Coco and Emma </t>
  </si>
  <si>
    <t>Emily, Elizabeth</t>
  </si>
  <si>
    <t>Asiya, Charlotte, Amy, Elizabeth</t>
  </si>
  <si>
    <t>Alice, Buseinna, Emily, Martha</t>
  </si>
  <si>
    <t>Jacob, Matej, Jamie</t>
  </si>
  <si>
    <t>Emily and Joel</t>
  </si>
  <si>
    <t>dsh123_huj123</t>
  </si>
  <si>
    <t xml:space="preserve">Notes: </t>
  </si>
  <si>
    <t xml:space="preserve">Sample ID should be a single numerical list for the whole class starting at 1. </t>
  </si>
  <si>
    <t>GroupName should be your usernames separated by an underscore</t>
  </si>
  <si>
    <t xml:space="preserve">Position is metres from the bottom of the slope. </t>
  </si>
  <si>
    <t xml:space="preserve">The SpeciesA etc columns are the % cover figures you collected for each species in each quadrat. Type zero if absent </t>
  </si>
  <si>
    <t>Bellis_perennis</t>
  </si>
  <si>
    <t>Veronica_chamaedrys</t>
  </si>
  <si>
    <t>Rumex_acetosa</t>
  </si>
  <si>
    <t>Galium_aparine</t>
  </si>
  <si>
    <t>Heracleum_sphondylium</t>
  </si>
  <si>
    <t>Jacobaea_vulgaris</t>
  </si>
  <si>
    <t>Ranunculus_acris</t>
  </si>
  <si>
    <t>Achillea_millefolium</t>
  </si>
  <si>
    <t>Geranium_dissectum</t>
  </si>
  <si>
    <t>Species I different</t>
  </si>
  <si>
    <t>Centaurea_nigra</t>
  </si>
  <si>
    <t>Species J genus level only</t>
  </si>
  <si>
    <t>Plantago_lanceolata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</si>
</sst>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6"/>
  <sheetViews>
    <sheetView tabSelected="1" topLeftCell="K1" workbookViewId="0">
      <pane ySplit="1" topLeftCell="A2" activePane="bottomLeft" state="frozen"/>
      <selection pane="bottomLeft" activeCell="R13" sqref="R13"/>
    </sheetView>
  </sheetViews>
  <sheetFormatPr defaultColWidth="12.6640625" defaultRowHeight="15.75" customHeight="1" x14ac:dyDescent="0.25"/>
  <cols>
    <col min="2" max="2" width="24.88671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46</v>
      </c>
      <c r="P1" s="4" t="s">
        <v>48</v>
      </c>
    </row>
    <row r="2" spans="1:16" ht="13.2" x14ac:dyDescent="0.25">
      <c r="A2" s="1">
        <v>1</v>
      </c>
      <c r="B2" s="1" t="s">
        <v>16</v>
      </c>
      <c r="C2" s="1">
        <v>7</v>
      </c>
      <c r="D2" s="1">
        <f t="shared" ref="D2:D85" si="0">5.48168 +(0.14763*C2)+(0.02768*(C2^2))</f>
        <v>7.87141</v>
      </c>
      <c r="E2" s="1">
        <f t="shared" ref="E2:E85" si="1">23.035-(1.579*C2)</f>
        <v>11.982000000000001</v>
      </c>
      <c r="F2" s="1">
        <v>0</v>
      </c>
      <c r="G2" s="1">
        <v>0</v>
      </c>
      <c r="H2" s="1">
        <v>3</v>
      </c>
      <c r="I2" s="1">
        <v>0</v>
      </c>
      <c r="J2" s="1">
        <v>0</v>
      </c>
      <c r="K2" s="1">
        <v>5</v>
      </c>
      <c r="L2" s="1">
        <v>0</v>
      </c>
      <c r="M2" s="1">
        <v>0</v>
      </c>
      <c r="N2" s="1">
        <v>0</v>
      </c>
      <c r="O2" s="1">
        <v>11</v>
      </c>
      <c r="P2" s="1">
        <v>1</v>
      </c>
    </row>
    <row r="3" spans="1:16" ht="13.2" x14ac:dyDescent="0.25">
      <c r="A3" s="1">
        <v>2</v>
      </c>
      <c r="B3" s="1" t="s">
        <v>16</v>
      </c>
      <c r="C3" s="1">
        <v>9</v>
      </c>
      <c r="D3" s="1">
        <f t="shared" si="0"/>
        <v>9.0524299999999993</v>
      </c>
      <c r="E3" s="1">
        <f t="shared" si="1"/>
        <v>8.8239999999999998</v>
      </c>
      <c r="F3" s="1">
        <v>0</v>
      </c>
      <c r="G3" s="1">
        <v>2</v>
      </c>
      <c r="H3" s="1">
        <v>4</v>
      </c>
      <c r="I3" s="1">
        <v>1</v>
      </c>
      <c r="J3" s="1">
        <v>0</v>
      </c>
      <c r="K3" s="1">
        <v>2.5</v>
      </c>
      <c r="L3" s="1">
        <v>0</v>
      </c>
      <c r="M3" s="1">
        <v>0</v>
      </c>
      <c r="N3" s="1">
        <v>8</v>
      </c>
      <c r="O3" s="1">
        <v>6</v>
      </c>
      <c r="P3" s="1">
        <v>5</v>
      </c>
    </row>
    <row r="4" spans="1:16" ht="13.2" x14ac:dyDescent="0.25">
      <c r="A4" s="1">
        <v>3</v>
      </c>
      <c r="B4" s="1" t="s">
        <v>16</v>
      </c>
      <c r="C4" s="1">
        <v>11</v>
      </c>
      <c r="D4" s="1">
        <f t="shared" si="0"/>
        <v>10.454890000000001</v>
      </c>
      <c r="E4" s="1">
        <f t="shared" si="1"/>
        <v>5.6660000000000004</v>
      </c>
      <c r="F4" s="1">
        <v>2</v>
      </c>
      <c r="G4" s="1">
        <v>0</v>
      </c>
      <c r="H4" s="1">
        <v>5</v>
      </c>
      <c r="I4" s="1">
        <v>2</v>
      </c>
      <c r="J4" s="1">
        <v>3</v>
      </c>
      <c r="K4" s="1">
        <v>3</v>
      </c>
      <c r="L4" s="1">
        <v>0</v>
      </c>
      <c r="M4" s="1">
        <v>0</v>
      </c>
      <c r="N4" s="1">
        <v>2</v>
      </c>
      <c r="O4" s="1">
        <v>5</v>
      </c>
      <c r="P4" s="1">
        <v>1</v>
      </c>
    </row>
    <row r="5" spans="1:16" ht="13.2" x14ac:dyDescent="0.25">
      <c r="A5" s="1">
        <v>4</v>
      </c>
      <c r="B5" s="1" t="s">
        <v>16</v>
      </c>
      <c r="C5" s="1">
        <v>6</v>
      </c>
      <c r="D5" s="1">
        <f t="shared" si="0"/>
        <v>7.3639399999999995</v>
      </c>
      <c r="E5" s="1">
        <f t="shared" si="1"/>
        <v>13.561</v>
      </c>
      <c r="F5" s="1">
        <v>0</v>
      </c>
      <c r="G5" s="1">
        <v>2</v>
      </c>
      <c r="H5" s="1">
        <v>5</v>
      </c>
      <c r="I5" s="1">
        <v>0</v>
      </c>
      <c r="J5" s="1">
        <v>0</v>
      </c>
      <c r="K5" s="1">
        <v>7</v>
      </c>
      <c r="L5" s="1">
        <v>0</v>
      </c>
      <c r="M5" s="1">
        <v>0</v>
      </c>
      <c r="N5" s="1">
        <v>2</v>
      </c>
      <c r="O5" s="1">
        <v>0</v>
      </c>
      <c r="P5" s="1">
        <v>2.5</v>
      </c>
    </row>
    <row r="6" spans="1:16" ht="13.2" x14ac:dyDescent="0.25">
      <c r="A6" s="1">
        <v>5</v>
      </c>
      <c r="B6" s="1" t="s">
        <v>16</v>
      </c>
      <c r="C6" s="1">
        <v>3</v>
      </c>
      <c r="D6" s="1">
        <f t="shared" si="0"/>
        <v>6.1736900000000006</v>
      </c>
      <c r="E6" s="1">
        <f t="shared" si="1"/>
        <v>18.298000000000002</v>
      </c>
      <c r="F6" s="1">
        <v>2</v>
      </c>
      <c r="G6" s="1">
        <v>1</v>
      </c>
      <c r="H6" s="1">
        <v>8</v>
      </c>
      <c r="I6" s="1">
        <v>0</v>
      </c>
      <c r="J6" s="1">
        <v>0</v>
      </c>
      <c r="K6" s="1">
        <v>4</v>
      </c>
      <c r="L6" s="1">
        <v>0</v>
      </c>
      <c r="M6" s="1">
        <v>0</v>
      </c>
      <c r="N6" s="1">
        <v>1</v>
      </c>
      <c r="O6" s="1">
        <v>0</v>
      </c>
      <c r="P6" s="1">
        <v>0</v>
      </c>
    </row>
    <row r="7" spans="1:16" ht="13.2" x14ac:dyDescent="0.25">
      <c r="A7" s="1">
        <v>6</v>
      </c>
      <c r="B7" s="1" t="s">
        <v>16</v>
      </c>
      <c r="C7" s="1">
        <v>2</v>
      </c>
      <c r="D7" s="1">
        <f t="shared" si="0"/>
        <v>5.8876599999999994</v>
      </c>
      <c r="E7" s="1">
        <f t="shared" si="1"/>
        <v>19.876999999999999</v>
      </c>
      <c r="F7" s="1">
        <v>0</v>
      </c>
      <c r="G7" s="1">
        <v>0</v>
      </c>
      <c r="H7" s="1">
        <v>16</v>
      </c>
      <c r="I7" s="1">
        <v>2</v>
      </c>
      <c r="J7" s="1">
        <v>0</v>
      </c>
      <c r="K7" s="1">
        <v>1</v>
      </c>
      <c r="L7" s="1">
        <v>0</v>
      </c>
      <c r="M7" s="1">
        <v>0</v>
      </c>
      <c r="N7" s="1">
        <v>3</v>
      </c>
      <c r="O7" s="1">
        <v>0</v>
      </c>
      <c r="P7" s="1">
        <v>0</v>
      </c>
    </row>
    <row r="8" spans="1:16" ht="13.2" x14ac:dyDescent="0.25">
      <c r="A8" s="1">
        <v>7</v>
      </c>
      <c r="B8" s="1" t="s">
        <v>17</v>
      </c>
      <c r="C8" s="1">
        <v>6</v>
      </c>
      <c r="D8" s="1">
        <f t="shared" si="0"/>
        <v>7.3639399999999995</v>
      </c>
      <c r="E8" s="1">
        <f t="shared" si="1"/>
        <v>13.561</v>
      </c>
      <c r="F8" s="1">
        <v>1</v>
      </c>
      <c r="G8" s="1">
        <v>10.5</v>
      </c>
      <c r="H8" s="1">
        <v>1</v>
      </c>
      <c r="I8" s="1">
        <v>0</v>
      </c>
      <c r="J8" s="1">
        <v>0</v>
      </c>
      <c r="K8" s="1">
        <v>22</v>
      </c>
      <c r="L8" s="1">
        <v>0</v>
      </c>
      <c r="M8" s="1">
        <v>3.5</v>
      </c>
      <c r="N8" s="1">
        <v>3.5</v>
      </c>
      <c r="O8" s="1">
        <v>0</v>
      </c>
      <c r="P8" s="1">
        <v>0</v>
      </c>
    </row>
    <row r="9" spans="1:16" ht="13.2" x14ac:dyDescent="0.25">
      <c r="A9" s="1">
        <v>8</v>
      </c>
      <c r="B9" s="1" t="s">
        <v>17</v>
      </c>
      <c r="C9" s="1">
        <v>2</v>
      </c>
      <c r="D9" s="1">
        <f t="shared" si="0"/>
        <v>5.8876599999999994</v>
      </c>
      <c r="E9" s="1">
        <f t="shared" si="1"/>
        <v>19.876999999999999</v>
      </c>
      <c r="F9" s="1">
        <v>0.5</v>
      </c>
      <c r="G9" s="1">
        <v>0</v>
      </c>
      <c r="H9" s="1">
        <v>2</v>
      </c>
      <c r="I9" s="1">
        <v>0</v>
      </c>
      <c r="J9" s="1">
        <v>0</v>
      </c>
      <c r="K9" s="1">
        <v>4.5</v>
      </c>
      <c r="L9" s="1">
        <v>0</v>
      </c>
      <c r="M9" s="1">
        <v>1.5</v>
      </c>
      <c r="N9" s="1">
        <v>9.5</v>
      </c>
      <c r="O9" s="1">
        <v>6.5</v>
      </c>
      <c r="P9" s="1">
        <v>6.5</v>
      </c>
    </row>
    <row r="10" spans="1:16" ht="13.2" x14ac:dyDescent="0.25">
      <c r="A10" s="1">
        <v>9</v>
      </c>
      <c r="B10" s="1" t="s">
        <v>17</v>
      </c>
      <c r="C10" s="1">
        <v>11</v>
      </c>
      <c r="D10" s="1">
        <f t="shared" si="0"/>
        <v>10.454890000000001</v>
      </c>
      <c r="E10" s="1">
        <f t="shared" si="1"/>
        <v>5.6660000000000004</v>
      </c>
      <c r="F10" s="1">
        <v>0</v>
      </c>
      <c r="G10" s="1">
        <v>8</v>
      </c>
      <c r="H10" s="1">
        <v>1.5</v>
      </c>
      <c r="I10" s="1">
        <v>0</v>
      </c>
      <c r="J10" s="1">
        <v>9</v>
      </c>
      <c r="K10" s="1">
        <v>3.5</v>
      </c>
      <c r="L10" s="1">
        <v>0</v>
      </c>
      <c r="M10" s="1">
        <v>0</v>
      </c>
      <c r="N10" s="1">
        <v>4.5</v>
      </c>
      <c r="O10" s="1">
        <v>2</v>
      </c>
      <c r="P10" s="1">
        <v>0</v>
      </c>
    </row>
    <row r="11" spans="1:16" ht="13.2" x14ac:dyDescent="0.25">
      <c r="A11" s="1">
        <v>10</v>
      </c>
      <c r="B11" s="1" t="s">
        <v>17</v>
      </c>
      <c r="C11" s="1">
        <v>6</v>
      </c>
      <c r="D11" s="1">
        <f t="shared" si="0"/>
        <v>7.3639399999999995</v>
      </c>
      <c r="E11" s="1">
        <f t="shared" si="1"/>
        <v>13.561</v>
      </c>
      <c r="F11" s="1">
        <v>0</v>
      </c>
      <c r="G11" s="1">
        <v>3.5</v>
      </c>
      <c r="H11" s="1">
        <v>6.5</v>
      </c>
      <c r="I11" s="1">
        <v>0</v>
      </c>
      <c r="J11" s="1">
        <v>0</v>
      </c>
      <c r="K11" s="1">
        <v>10</v>
      </c>
      <c r="L11" s="1">
        <v>0</v>
      </c>
      <c r="M11" s="1">
        <v>0.5</v>
      </c>
      <c r="N11" s="1">
        <v>1.5</v>
      </c>
      <c r="O11" s="1">
        <v>1.5</v>
      </c>
      <c r="P11" s="1">
        <v>3</v>
      </c>
    </row>
    <row r="12" spans="1:16" ht="13.2" x14ac:dyDescent="0.25">
      <c r="A12" s="1">
        <v>11</v>
      </c>
      <c r="B12" s="1" t="s">
        <v>17</v>
      </c>
      <c r="C12" s="1">
        <v>2</v>
      </c>
      <c r="D12" s="1">
        <f t="shared" si="0"/>
        <v>5.8876599999999994</v>
      </c>
      <c r="E12" s="1">
        <f t="shared" si="1"/>
        <v>19.876999999999999</v>
      </c>
      <c r="F12" s="1">
        <v>0</v>
      </c>
      <c r="G12" s="1">
        <v>7.25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1.75</v>
      </c>
      <c r="O12" s="1">
        <v>0.5</v>
      </c>
      <c r="P12" s="1">
        <v>5</v>
      </c>
    </row>
    <row r="13" spans="1:16" ht="13.2" x14ac:dyDescent="0.25">
      <c r="A13" s="1">
        <v>12</v>
      </c>
      <c r="B13" s="1" t="s">
        <v>17</v>
      </c>
      <c r="C13" s="1">
        <v>11</v>
      </c>
      <c r="D13" s="1">
        <f t="shared" si="0"/>
        <v>10.454890000000001</v>
      </c>
      <c r="E13" s="1">
        <f t="shared" si="1"/>
        <v>5.6660000000000004</v>
      </c>
      <c r="F13" s="1">
        <v>1</v>
      </c>
      <c r="G13" s="1">
        <v>2</v>
      </c>
      <c r="H13" s="1">
        <v>2</v>
      </c>
      <c r="I13" s="1">
        <v>0</v>
      </c>
      <c r="J13" s="1">
        <v>1.75</v>
      </c>
      <c r="K13" s="1">
        <v>7.5</v>
      </c>
      <c r="L13" s="1">
        <v>0</v>
      </c>
      <c r="M13" s="1">
        <v>0</v>
      </c>
      <c r="N13" s="1">
        <v>2.5</v>
      </c>
      <c r="O13" s="1">
        <v>4.5</v>
      </c>
      <c r="P13" s="1">
        <v>6</v>
      </c>
    </row>
    <row r="14" spans="1:16" ht="13.2" x14ac:dyDescent="0.25">
      <c r="A14" s="1">
        <v>13</v>
      </c>
      <c r="B14" s="2" t="s">
        <v>18</v>
      </c>
      <c r="C14" s="1">
        <v>8.6</v>
      </c>
      <c r="D14" s="1">
        <f t="shared" si="0"/>
        <v>8.798510799999999</v>
      </c>
      <c r="E14" s="1">
        <f t="shared" si="1"/>
        <v>9.4556000000000004</v>
      </c>
      <c r="F14" s="1">
        <v>1</v>
      </c>
      <c r="G14" s="1">
        <v>1</v>
      </c>
      <c r="H14" s="1">
        <v>4</v>
      </c>
      <c r="I14" s="1">
        <v>0</v>
      </c>
      <c r="J14" s="1">
        <v>9</v>
      </c>
      <c r="K14" s="1">
        <v>1</v>
      </c>
      <c r="L14" s="1">
        <v>0</v>
      </c>
      <c r="M14" s="1">
        <v>3</v>
      </c>
      <c r="N14" s="1">
        <v>1</v>
      </c>
      <c r="O14" s="1">
        <v>2</v>
      </c>
      <c r="P14" s="1">
        <v>2</v>
      </c>
    </row>
    <row r="15" spans="1:16" ht="13.2" x14ac:dyDescent="0.25">
      <c r="A15" s="1">
        <v>14</v>
      </c>
      <c r="B15" s="2" t="s">
        <v>18</v>
      </c>
      <c r="C15" s="1">
        <v>2.8</v>
      </c>
      <c r="D15" s="1">
        <f t="shared" si="0"/>
        <v>6.1120551999999995</v>
      </c>
      <c r="E15" s="1">
        <f t="shared" si="1"/>
        <v>18.613800000000001</v>
      </c>
      <c r="F15" s="1">
        <v>1</v>
      </c>
      <c r="G15" s="1">
        <v>2</v>
      </c>
      <c r="H15" s="1">
        <v>11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5</v>
      </c>
      <c r="O15" s="1">
        <v>4</v>
      </c>
      <c r="P15" s="1">
        <v>0</v>
      </c>
    </row>
    <row r="16" spans="1:16" ht="13.2" x14ac:dyDescent="0.25">
      <c r="A16" s="1">
        <v>15</v>
      </c>
      <c r="B16" s="2" t="s">
        <v>18</v>
      </c>
      <c r="C16" s="1">
        <v>0.2</v>
      </c>
      <c r="D16" s="1">
        <f t="shared" si="0"/>
        <v>5.5123131999999995</v>
      </c>
      <c r="E16" s="1">
        <f t="shared" si="1"/>
        <v>22.719200000000001</v>
      </c>
      <c r="F16" s="1">
        <v>0</v>
      </c>
      <c r="G16" s="1">
        <v>1</v>
      </c>
      <c r="H16" s="1">
        <v>0</v>
      </c>
      <c r="I16" s="1">
        <v>0</v>
      </c>
      <c r="J16" s="1">
        <v>2</v>
      </c>
      <c r="K16" s="1">
        <v>0</v>
      </c>
      <c r="L16" s="1">
        <v>1</v>
      </c>
      <c r="M16" s="1">
        <v>0</v>
      </c>
      <c r="N16" s="1">
        <v>9</v>
      </c>
      <c r="O16" s="1">
        <v>0</v>
      </c>
      <c r="P16" s="1">
        <v>5</v>
      </c>
    </row>
    <row r="17" spans="1:16" ht="13.2" x14ac:dyDescent="0.25">
      <c r="A17" s="1">
        <v>16</v>
      </c>
      <c r="B17" s="2" t="s">
        <v>18</v>
      </c>
      <c r="C17" s="1">
        <v>6.7</v>
      </c>
      <c r="D17" s="1">
        <f t="shared" si="0"/>
        <v>7.7133561999999998</v>
      </c>
      <c r="E17" s="1">
        <f t="shared" si="1"/>
        <v>12.4557</v>
      </c>
      <c r="F17" s="1">
        <v>0</v>
      </c>
      <c r="G17" s="1">
        <v>3</v>
      </c>
      <c r="H17" s="1">
        <v>8</v>
      </c>
      <c r="I17" s="1">
        <v>0</v>
      </c>
      <c r="J17" s="1">
        <v>1</v>
      </c>
      <c r="K17" s="1">
        <v>3</v>
      </c>
      <c r="L17" s="1">
        <v>0</v>
      </c>
      <c r="M17" s="1">
        <v>0</v>
      </c>
      <c r="N17" s="1">
        <v>3</v>
      </c>
      <c r="O17" s="1">
        <v>6</v>
      </c>
      <c r="P17" s="1">
        <v>0</v>
      </c>
    </row>
    <row r="18" spans="1:16" ht="13.2" x14ac:dyDescent="0.25">
      <c r="A18" s="1">
        <v>17</v>
      </c>
      <c r="B18" s="2" t="s">
        <v>18</v>
      </c>
      <c r="C18" s="1">
        <v>11</v>
      </c>
      <c r="D18" s="1">
        <f t="shared" si="0"/>
        <v>10.454890000000001</v>
      </c>
      <c r="E18" s="1">
        <f t="shared" si="1"/>
        <v>5.6660000000000004</v>
      </c>
      <c r="F18" s="1">
        <v>2</v>
      </c>
      <c r="G18" s="1">
        <v>2</v>
      </c>
      <c r="H18" s="1">
        <v>3</v>
      </c>
      <c r="I18" s="1">
        <v>1</v>
      </c>
      <c r="J18" s="1">
        <v>5</v>
      </c>
      <c r="K18" s="1">
        <v>0</v>
      </c>
      <c r="L18" s="1">
        <v>0</v>
      </c>
      <c r="M18" s="1">
        <v>0</v>
      </c>
      <c r="N18" s="1">
        <v>4</v>
      </c>
      <c r="O18" s="1">
        <v>5</v>
      </c>
      <c r="P18" s="1">
        <v>1</v>
      </c>
    </row>
    <row r="19" spans="1:16" ht="13.2" x14ac:dyDescent="0.25">
      <c r="A19" s="1">
        <v>18</v>
      </c>
      <c r="B19" s="1" t="s">
        <v>18</v>
      </c>
      <c r="C19" s="1">
        <v>7</v>
      </c>
      <c r="D19" s="1">
        <f t="shared" si="0"/>
        <v>7.87141</v>
      </c>
      <c r="E19" s="1">
        <f t="shared" si="1"/>
        <v>11.982000000000001</v>
      </c>
      <c r="F19" s="1">
        <v>1</v>
      </c>
      <c r="G19" s="1">
        <v>2</v>
      </c>
      <c r="H19" s="1">
        <v>5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>
        <v>3</v>
      </c>
      <c r="O19" s="1">
        <v>0</v>
      </c>
      <c r="P19" s="1">
        <v>2</v>
      </c>
    </row>
    <row r="20" spans="1:16" ht="13.2" x14ac:dyDescent="0.25">
      <c r="A20" s="1">
        <v>19</v>
      </c>
      <c r="B20" s="1" t="s">
        <v>19</v>
      </c>
      <c r="C20" s="1">
        <v>0.4</v>
      </c>
      <c r="D20" s="1">
        <f t="shared" si="0"/>
        <v>5.5451608000000006</v>
      </c>
      <c r="E20" s="1">
        <f t="shared" si="1"/>
        <v>22.403400000000001</v>
      </c>
      <c r="F20" s="1">
        <v>3</v>
      </c>
      <c r="G20" s="1">
        <v>0</v>
      </c>
      <c r="H20" s="1">
        <v>4</v>
      </c>
      <c r="I20" s="1">
        <v>2</v>
      </c>
      <c r="J20" s="1">
        <v>0</v>
      </c>
      <c r="K20" s="1">
        <v>0</v>
      </c>
      <c r="L20" s="1">
        <v>0</v>
      </c>
      <c r="M20" s="1">
        <v>0</v>
      </c>
      <c r="N20" s="1">
        <v>20</v>
      </c>
      <c r="O20" s="1">
        <v>0</v>
      </c>
      <c r="P20" s="1">
        <v>1</v>
      </c>
    </row>
    <row r="21" spans="1:16" ht="13.2" x14ac:dyDescent="0.25">
      <c r="A21" s="1">
        <v>20</v>
      </c>
      <c r="B21" s="1" t="s">
        <v>19</v>
      </c>
      <c r="C21" s="1">
        <v>1.96</v>
      </c>
      <c r="D21" s="1">
        <f t="shared" si="0"/>
        <v>5.8773702879999998</v>
      </c>
      <c r="E21" s="1">
        <f t="shared" si="1"/>
        <v>19.940159999999999</v>
      </c>
      <c r="F21" s="1">
        <v>2</v>
      </c>
      <c r="G21" s="1">
        <v>5</v>
      </c>
      <c r="H21" s="1">
        <v>8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6</v>
      </c>
      <c r="O21" s="1">
        <v>0</v>
      </c>
      <c r="P21" s="1">
        <v>1</v>
      </c>
    </row>
    <row r="22" spans="1:16" ht="13.2" x14ac:dyDescent="0.25">
      <c r="A22" s="1">
        <v>21</v>
      </c>
      <c r="B22" s="1" t="s">
        <v>19</v>
      </c>
      <c r="C22" s="1">
        <v>4.26</v>
      </c>
      <c r="D22" s="1">
        <f t="shared" si="0"/>
        <v>6.6129093679999995</v>
      </c>
      <c r="E22" s="1">
        <f t="shared" si="1"/>
        <v>16.30846</v>
      </c>
      <c r="F22" s="1">
        <v>0</v>
      </c>
      <c r="G22" s="1">
        <v>1</v>
      </c>
      <c r="H22" s="1">
        <v>7</v>
      </c>
      <c r="I22" s="1">
        <v>5</v>
      </c>
      <c r="J22" s="1">
        <v>0</v>
      </c>
      <c r="K22" s="1">
        <v>14</v>
      </c>
      <c r="L22" s="1">
        <v>0</v>
      </c>
      <c r="M22" s="1">
        <v>0</v>
      </c>
      <c r="N22" s="1">
        <v>4</v>
      </c>
      <c r="O22" s="1">
        <v>0</v>
      </c>
      <c r="P22" s="1">
        <v>0</v>
      </c>
    </row>
    <row r="23" spans="1:16" ht="26.4" x14ac:dyDescent="0.25">
      <c r="A23" s="1">
        <v>22</v>
      </c>
      <c r="B23" s="2" t="s">
        <v>19</v>
      </c>
      <c r="C23" s="1">
        <v>5.52</v>
      </c>
      <c r="D23" s="1">
        <f t="shared" si="0"/>
        <v>7.1400182719999998</v>
      </c>
      <c r="E23" s="1">
        <f t="shared" si="1"/>
        <v>14.31892</v>
      </c>
      <c r="F23" s="1">
        <v>2</v>
      </c>
      <c r="G23" s="1">
        <v>3</v>
      </c>
      <c r="H23" s="1">
        <v>0</v>
      </c>
      <c r="I23" s="1">
        <v>0</v>
      </c>
      <c r="J23" s="1">
        <v>0</v>
      </c>
      <c r="K23" s="1">
        <v>2</v>
      </c>
      <c r="L23" s="1">
        <v>0</v>
      </c>
      <c r="M23" s="1">
        <v>1</v>
      </c>
      <c r="N23" s="1">
        <v>5</v>
      </c>
      <c r="O23" s="1">
        <v>0</v>
      </c>
      <c r="P23" s="1">
        <v>6</v>
      </c>
    </row>
    <row r="24" spans="1:16" ht="26.4" x14ac:dyDescent="0.25">
      <c r="A24" s="1">
        <v>23</v>
      </c>
      <c r="B24" s="2" t="s">
        <v>19</v>
      </c>
      <c r="C24" s="1">
        <v>8.1300000000000008</v>
      </c>
      <c r="D24" s="1">
        <f t="shared" si="0"/>
        <v>8.5114740920000003</v>
      </c>
      <c r="E24" s="1">
        <f t="shared" si="1"/>
        <v>10.19773</v>
      </c>
      <c r="F24" s="1">
        <v>0</v>
      </c>
      <c r="G24" s="1">
        <v>3</v>
      </c>
      <c r="H24" s="1">
        <v>4</v>
      </c>
      <c r="I24" s="1">
        <v>0</v>
      </c>
      <c r="J24" s="1">
        <v>0</v>
      </c>
      <c r="K24" s="1">
        <v>3</v>
      </c>
      <c r="L24" s="1">
        <v>0</v>
      </c>
      <c r="M24" s="1">
        <v>3</v>
      </c>
      <c r="N24" s="1">
        <v>1</v>
      </c>
      <c r="O24" s="1">
        <v>0</v>
      </c>
      <c r="P24" s="1">
        <v>0</v>
      </c>
    </row>
    <row r="25" spans="1:16" ht="26.4" x14ac:dyDescent="0.25">
      <c r="A25" s="1">
        <v>24</v>
      </c>
      <c r="B25" s="2" t="s">
        <v>19</v>
      </c>
      <c r="C25" s="1">
        <v>9.5500000000000007</v>
      </c>
      <c r="D25" s="1">
        <f t="shared" si="0"/>
        <v>9.4160317000000013</v>
      </c>
      <c r="E25" s="1">
        <f t="shared" si="1"/>
        <v>7.9555499999999988</v>
      </c>
      <c r="F25" s="1">
        <v>0</v>
      </c>
      <c r="G25" s="1">
        <v>5</v>
      </c>
      <c r="H25" s="1">
        <v>2</v>
      </c>
      <c r="I25" s="1">
        <v>2</v>
      </c>
      <c r="J25" s="1">
        <v>0</v>
      </c>
      <c r="K25" s="1">
        <v>4</v>
      </c>
      <c r="L25" s="1">
        <v>0</v>
      </c>
      <c r="M25" s="1">
        <v>0</v>
      </c>
      <c r="N25" s="1">
        <v>0</v>
      </c>
      <c r="O25" s="1">
        <v>0</v>
      </c>
      <c r="P25" s="1">
        <v>5</v>
      </c>
    </row>
    <row r="26" spans="1:16" ht="26.4" x14ac:dyDescent="0.25">
      <c r="A26" s="1">
        <v>25</v>
      </c>
      <c r="B26" s="2" t="s">
        <v>20</v>
      </c>
      <c r="C26" s="1">
        <v>5</v>
      </c>
      <c r="D26" s="1">
        <f t="shared" si="0"/>
        <v>6.9118300000000001</v>
      </c>
      <c r="E26" s="1">
        <f t="shared" si="1"/>
        <v>15.14</v>
      </c>
      <c r="F26" s="1">
        <v>0</v>
      </c>
      <c r="G26" s="1">
        <v>17</v>
      </c>
      <c r="H26" s="1">
        <v>7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8</v>
      </c>
      <c r="O26" s="1">
        <v>0</v>
      </c>
      <c r="P26" s="1">
        <v>1</v>
      </c>
    </row>
    <row r="27" spans="1:16" ht="26.4" x14ac:dyDescent="0.25">
      <c r="A27" s="1">
        <v>26</v>
      </c>
      <c r="B27" s="2" t="s">
        <v>20</v>
      </c>
      <c r="C27" s="1">
        <v>3</v>
      </c>
      <c r="D27" s="1">
        <f t="shared" si="0"/>
        <v>6.1736900000000006</v>
      </c>
      <c r="E27" s="1">
        <f t="shared" si="1"/>
        <v>18.298000000000002</v>
      </c>
      <c r="F27" s="1">
        <v>2</v>
      </c>
      <c r="G27" s="1">
        <v>4</v>
      </c>
      <c r="H27" s="1">
        <v>5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2</v>
      </c>
    </row>
    <row r="28" spans="1:16" ht="26.4" x14ac:dyDescent="0.25">
      <c r="A28" s="1">
        <v>27</v>
      </c>
      <c r="B28" s="2" t="s">
        <v>20</v>
      </c>
      <c r="C28" s="1">
        <v>1</v>
      </c>
      <c r="D28" s="1">
        <f t="shared" si="0"/>
        <v>5.6569900000000004</v>
      </c>
      <c r="E28" s="1">
        <f t="shared" si="1"/>
        <v>21.456</v>
      </c>
      <c r="F28" s="1">
        <v>0</v>
      </c>
      <c r="G28" s="1">
        <v>3</v>
      </c>
      <c r="H28" s="1">
        <v>2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</v>
      </c>
      <c r="O28" s="1">
        <v>0</v>
      </c>
      <c r="P28" s="1">
        <v>2</v>
      </c>
    </row>
    <row r="29" spans="1:16" ht="26.4" x14ac:dyDescent="0.25">
      <c r="A29" s="1">
        <v>28</v>
      </c>
      <c r="B29" s="2" t="s">
        <v>20</v>
      </c>
      <c r="C29" s="1">
        <v>10.4</v>
      </c>
      <c r="D29" s="1">
        <f t="shared" si="0"/>
        <v>10.010900800000002</v>
      </c>
      <c r="E29" s="1">
        <f t="shared" si="1"/>
        <v>6.6133999999999986</v>
      </c>
      <c r="F29" s="1">
        <v>0</v>
      </c>
      <c r="G29" s="1">
        <v>3</v>
      </c>
      <c r="H29" s="1">
        <v>3</v>
      </c>
      <c r="I29" s="1">
        <v>0</v>
      </c>
      <c r="J29" s="1">
        <v>1</v>
      </c>
      <c r="K29" s="1">
        <v>0</v>
      </c>
      <c r="L29" s="1">
        <v>0</v>
      </c>
      <c r="M29" s="1">
        <v>0</v>
      </c>
      <c r="N29" s="1">
        <v>7</v>
      </c>
      <c r="O29" s="1">
        <v>3</v>
      </c>
      <c r="P29" s="1">
        <v>1</v>
      </c>
    </row>
    <row r="30" spans="1:16" ht="26.4" x14ac:dyDescent="0.25">
      <c r="A30" s="1">
        <v>29</v>
      </c>
      <c r="B30" s="2" t="s">
        <v>20</v>
      </c>
      <c r="C30" s="1">
        <v>9</v>
      </c>
      <c r="D30" s="1">
        <f t="shared" si="0"/>
        <v>9.0524299999999993</v>
      </c>
      <c r="E30" s="1">
        <f t="shared" si="1"/>
        <v>8.8239999999999998</v>
      </c>
      <c r="F30" s="1">
        <v>0</v>
      </c>
      <c r="G30" s="1">
        <v>1</v>
      </c>
      <c r="H30" s="1">
        <v>3</v>
      </c>
      <c r="I30" s="1">
        <v>0</v>
      </c>
      <c r="J30" s="1">
        <v>0</v>
      </c>
      <c r="K30" s="1">
        <v>3</v>
      </c>
      <c r="L30" s="1">
        <v>0</v>
      </c>
      <c r="M30" s="1">
        <v>0</v>
      </c>
      <c r="N30" s="1">
        <v>1</v>
      </c>
      <c r="O30" s="1">
        <v>2</v>
      </c>
      <c r="P30" s="1">
        <v>1</v>
      </c>
    </row>
    <row r="31" spans="1:16" ht="26.4" x14ac:dyDescent="0.25">
      <c r="A31" s="1">
        <v>30</v>
      </c>
      <c r="B31" s="2" t="s">
        <v>20</v>
      </c>
      <c r="C31" s="1">
        <v>7</v>
      </c>
      <c r="D31" s="1">
        <f t="shared" si="0"/>
        <v>7.87141</v>
      </c>
      <c r="E31" s="1">
        <f t="shared" si="1"/>
        <v>11.982000000000001</v>
      </c>
      <c r="F31" s="1">
        <v>0</v>
      </c>
      <c r="G31" s="1">
        <v>3</v>
      </c>
      <c r="H31" s="1">
        <v>6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2</v>
      </c>
      <c r="O31" s="1">
        <v>0</v>
      </c>
      <c r="P31" s="1">
        <v>2</v>
      </c>
    </row>
    <row r="32" spans="1:16" ht="13.2" x14ac:dyDescent="0.25">
      <c r="A32" s="1">
        <v>31</v>
      </c>
      <c r="B32" s="1" t="s">
        <v>21</v>
      </c>
      <c r="C32" s="1">
        <v>4.7</v>
      </c>
      <c r="D32" s="1">
        <f t="shared" si="0"/>
        <v>6.7869922000000003</v>
      </c>
      <c r="E32" s="1">
        <f t="shared" si="1"/>
        <v>15.6137</v>
      </c>
      <c r="F32" s="1">
        <v>0</v>
      </c>
      <c r="G32" s="1">
        <v>0.32</v>
      </c>
      <c r="H32" s="1">
        <v>1.78</v>
      </c>
      <c r="I32" s="1">
        <v>0</v>
      </c>
      <c r="J32" s="1">
        <v>4.8</v>
      </c>
      <c r="K32" s="1">
        <v>10.6</v>
      </c>
      <c r="L32" s="1">
        <v>0</v>
      </c>
      <c r="M32" s="1">
        <v>0</v>
      </c>
      <c r="N32" s="1">
        <v>0.28000000000000003</v>
      </c>
      <c r="O32" s="1">
        <v>0</v>
      </c>
      <c r="P32" s="1">
        <v>0</v>
      </c>
    </row>
    <row r="33" spans="1:16" ht="13.2" x14ac:dyDescent="0.25">
      <c r="A33" s="1">
        <v>32</v>
      </c>
      <c r="B33" s="1" t="s">
        <v>21</v>
      </c>
      <c r="C33" s="1">
        <v>6</v>
      </c>
      <c r="D33" s="1">
        <f t="shared" si="0"/>
        <v>7.3639399999999995</v>
      </c>
      <c r="E33" s="1">
        <f t="shared" si="1"/>
        <v>13.561</v>
      </c>
      <c r="F33" s="1">
        <v>1.1200000000000001</v>
      </c>
      <c r="G33" s="1">
        <v>0.08</v>
      </c>
      <c r="H33" s="1">
        <v>1.68</v>
      </c>
      <c r="I33" s="1">
        <v>0</v>
      </c>
      <c r="J33" s="1">
        <v>0</v>
      </c>
      <c r="K33" s="1">
        <v>1.88</v>
      </c>
      <c r="L33" s="1">
        <v>0</v>
      </c>
      <c r="M33" s="1">
        <v>0</v>
      </c>
      <c r="N33" s="1">
        <v>0.44</v>
      </c>
      <c r="O33" s="1">
        <v>1.2</v>
      </c>
      <c r="P33" s="1">
        <v>4.32</v>
      </c>
    </row>
    <row r="34" spans="1:16" ht="13.2" x14ac:dyDescent="0.25">
      <c r="A34" s="1">
        <v>33</v>
      </c>
      <c r="B34" s="1" t="s">
        <v>21</v>
      </c>
      <c r="C34" s="1">
        <v>0</v>
      </c>
      <c r="D34" s="1">
        <f t="shared" si="0"/>
        <v>5.4816799999999999</v>
      </c>
      <c r="E34" s="1">
        <f t="shared" si="1"/>
        <v>23.035</v>
      </c>
      <c r="F34" s="1">
        <v>0</v>
      </c>
      <c r="G34" s="1">
        <v>0.16</v>
      </c>
      <c r="H34" s="1">
        <v>0</v>
      </c>
      <c r="I34" s="1">
        <v>0</v>
      </c>
      <c r="J34" s="1">
        <v>0.04</v>
      </c>
      <c r="K34" s="1">
        <v>0</v>
      </c>
      <c r="L34" s="1">
        <v>0</v>
      </c>
      <c r="M34" s="1">
        <v>0</v>
      </c>
      <c r="N34" s="1">
        <v>0.08</v>
      </c>
      <c r="O34" s="1">
        <v>0</v>
      </c>
      <c r="P34" s="1">
        <v>5.12</v>
      </c>
    </row>
    <row r="35" spans="1:16" ht="13.2" x14ac:dyDescent="0.25">
      <c r="A35" s="1">
        <v>34</v>
      </c>
      <c r="B35" s="1" t="s">
        <v>21</v>
      </c>
      <c r="C35" s="1">
        <v>1</v>
      </c>
      <c r="D35" s="1">
        <f t="shared" si="0"/>
        <v>5.6569900000000004</v>
      </c>
      <c r="E35" s="1">
        <f t="shared" si="1"/>
        <v>21.456</v>
      </c>
      <c r="F35" s="1">
        <v>0</v>
      </c>
      <c r="G35" s="1">
        <v>0.24</v>
      </c>
      <c r="H35" s="1">
        <v>1.1200000000000001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0.2</v>
      </c>
      <c r="O35" s="1">
        <v>0</v>
      </c>
      <c r="P35" s="1">
        <v>0</v>
      </c>
    </row>
    <row r="36" spans="1:16" ht="13.2" x14ac:dyDescent="0.25">
      <c r="A36" s="1">
        <v>35</v>
      </c>
      <c r="B36" s="1" t="s">
        <v>21</v>
      </c>
      <c r="C36" s="1">
        <v>8</v>
      </c>
      <c r="D36" s="1">
        <f t="shared" si="0"/>
        <v>8.4342400000000008</v>
      </c>
      <c r="E36" s="1">
        <f t="shared" si="1"/>
        <v>10.403</v>
      </c>
      <c r="F36" s="1">
        <v>0</v>
      </c>
      <c r="G36" s="1">
        <v>0.08</v>
      </c>
      <c r="H36" s="1">
        <v>3.36</v>
      </c>
      <c r="I36" s="1">
        <v>0</v>
      </c>
      <c r="J36" s="1">
        <v>0</v>
      </c>
      <c r="K36" s="1">
        <v>11</v>
      </c>
      <c r="L36" s="1">
        <v>0</v>
      </c>
      <c r="M36" s="1">
        <v>0</v>
      </c>
      <c r="N36" s="1">
        <v>0.84</v>
      </c>
      <c r="O36" s="1">
        <v>0</v>
      </c>
      <c r="P36" s="1">
        <v>0</v>
      </c>
    </row>
    <row r="37" spans="1:16" ht="13.2" x14ac:dyDescent="0.25">
      <c r="A37" s="1">
        <v>36</v>
      </c>
      <c r="B37" s="1" t="s">
        <v>21</v>
      </c>
      <c r="C37" s="1">
        <v>9.5</v>
      </c>
      <c r="D37" s="1">
        <f t="shared" si="0"/>
        <v>9.3822849999999995</v>
      </c>
      <c r="E37" s="1">
        <f t="shared" si="1"/>
        <v>8.0345000000000013</v>
      </c>
      <c r="F37" s="1">
        <v>0</v>
      </c>
      <c r="G37" s="1">
        <v>0.96</v>
      </c>
      <c r="H37" s="1">
        <v>0.6</v>
      </c>
      <c r="I37" s="1">
        <v>0</v>
      </c>
      <c r="J37" s="1">
        <v>0</v>
      </c>
      <c r="K37" s="1">
        <v>0</v>
      </c>
      <c r="L37" s="1">
        <v>0</v>
      </c>
      <c r="M37" s="1">
        <v>0.16</v>
      </c>
      <c r="N37" s="1">
        <v>1.24</v>
      </c>
      <c r="O37" s="1">
        <v>0</v>
      </c>
      <c r="P37" s="1">
        <v>3.36</v>
      </c>
    </row>
    <row r="38" spans="1:16" ht="13.2" x14ac:dyDescent="0.25">
      <c r="A38" s="1">
        <v>37</v>
      </c>
      <c r="B38" s="1" t="s">
        <v>22</v>
      </c>
      <c r="C38" s="1">
        <v>11</v>
      </c>
      <c r="D38" s="1">
        <f t="shared" si="0"/>
        <v>10.454890000000001</v>
      </c>
      <c r="E38" s="1">
        <f t="shared" si="1"/>
        <v>5.6660000000000004</v>
      </c>
      <c r="F38" s="1">
        <v>0.2</v>
      </c>
      <c r="G38" s="1">
        <v>17</v>
      </c>
      <c r="H38" s="1">
        <v>13</v>
      </c>
      <c r="I38" s="1">
        <v>3</v>
      </c>
      <c r="J38" s="1">
        <v>1</v>
      </c>
      <c r="K38" s="1">
        <v>0</v>
      </c>
      <c r="L38" s="1">
        <v>0</v>
      </c>
      <c r="M38" s="1">
        <v>0</v>
      </c>
      <c r="N38" s="1">
        <v>8</v>
      </c>
      <c r="O38" s="1">
        <v>9</v>
      </c>
      <c r="P38" s="1">
        <v>1</v>
      </c>
    </row>
    <row r="39" spans="1:16" ht="13.2" x14ac:dyDescent="0.25">
      <c r="A39" s="1">
        <v>38</v>
      </c>
      <c r="B39" s="1" t="s">
        <v>22</v>
      </c>
      <c r="C39" s="1">
        <v>7.1</v>
      </c>
      <c r="D39" s="1">
        <f t="shared" si="0"/>
        <v>7.9252018</v>
      </c>
      <c r="E39" s="1">
        <f t="shared" si="1"/>
        <v>11.824100000000001</v>
      </c>
      <c r="F39" s="1">
        <v>0</v>
      </c>
      <c r="G39" s="1">
        <v>1</v>
      </c>
      <c r="H39" s="1">
        <v>4</v>
      </c>
      <c r="I39" s="1">
        <v>1.5</v>
      </c>
      <c r="J39" s="1">
        <v>0</v>
      </c>
      <c r="K39" s="1">
        <v>2</v>
      </c>
      <c r="L39" s="1">
        <v>0</v>
      </c>
      <c r="M39" s="1">
        <v>0</v>
      </c>
      <c r="N39" s="1">
        <v>9</v>
      </c>
      <c r="O39" s="1">
        <v>2</v>
      </c>
      <c r="P39" s="1">
        <v>2.2999999999999998</v>
      </c>
    </row>
    <row r="40" spans="1:16" ht="13.2" x14ac:dyDescent="0.25">
      <c r="A40" s="1">
        <v>39</v>
      </c>
      <c r="B40" s="1" t="s">
        <v>22</v>
      </c>
      <c r="C40" s="1">
        <v>0.34</v>
      </c>
      <c r="D40" s="1">
        <f t="shared" si="0"/>
        <v>5.5350740079999996</v>
      </c>
      <c r="E40" s="1">
        <f t="shared" si="1"/>
        <v>22.498139999999999</v>
      </c>
      <c r="F40" s="1">
        <v>6</v>
      </c>
      <c r="G40" s="1">
        <v>0</v>
      </c>
      <c r="H40" s="1">
        <v>0</v>
      </c>
      <c r="I40" s="1">
        <v>1.3</v>
      </c>
      <c r="J40" s="1">
        <v>11</v>
      </c>
      <c r="K40" s="1">
        <v>0.2</v>
      </c>
      <c r="L40" s="1">
        <v>0</v>
      </c>
      <c r="M40" s="1">
        <v>0</v>
      </c>
      <c r="N40" s="1">
        <v>11</v>
      </c>
      <c r="O40" s="1">
        <v>0</v>
      </c>
      <c r="P40" s="1">
        <v>2</v>
      </c>
    </row>
    <row r="41" spans="1:16" ht="13.2" x14ac:dyDescent="0.25">
      <c r="A41" s="1">
        <v>40</v>
      </c>
      <c r="B41" s="1" t="s">
        <v>22</v>
      </c>
      <c r="C41" s="1">
        <v>5.3</v>
      </c>
      <c r="D41" s="1">
        <f t="shared" si="0"/>
        <v>7.0416502000000003</v>
      </c>
      <c r="E41" s="1">
        <f t="shared" si="1"/>
        <v>14.666300000000001</v>
      </c>
      <c r="F41" s="1">
        <v>0.5</v>
      </c>
      <c r="G41" s="1">
        <v>2.1</v>
      </c>
      <c r="H41" s="1">
        <v>4</v>
      </c>
      <c r="I41" s="1">
        <v>2</v>
      </c>
      <c r="J41" s="1">
        <v>0</v>
      </c>
      <c r="K41" s="1">
        <v>4</v>
      </c>
      <c r="L41" s="1">
        <v>0</v>
      </c>
      <c r="M41" s="1">
        <v>0</v>
      </c>
      <c r="N41" s="1">
        <v>13</v>
      </c>
      <c r="O41" s="1">
        <v>3</v>
      </c>
      <c r="P41" s="1">
        <v>0</v>
      </c>
    </row>
    <row r="42" spans="1:16" ht="13.2" x14ac:dyDescent="0.25">
      <c r="A42" s="1">
        <v>41</v>
      </c>
      <c r="B42" s="1" t="s">
        <v>22</v>
      </c>
      <c r="C42" s="1">
        <v>11.44</v>
      </c>
      <c r="D42" s="1">
        <f t="shared" si="0"/>
        <v>10.793148448</v>
      </c>
      <c r="E42" s="1">
        <f t="shared" si="1"/>
        <v>4.9712400000000017</v>
      </c>
      <c r="F42" s="1">
        <v>3.9</v>
      </c>
      <c r="G42" s="1">
        <v>1</v>
      </c>
      <c r="H42" s="1">
        <v>0</v>
      </c>
      <c r="I42" s="1">
        <v>15</v>
      </c>
      <c r="J42" s="1">
        <v>0</v>
      </c>
      <c r="K42" s="1">
        <v>22</v>
      </c>
      <c r="L42" s="1">
        <v>0</v>
      </c>
      <c r="M42" s="1">
        <v>0</v>
      </c>
      <c r="N42" s="1">
        <v>2</v>
      </c>
      <c r="O42" s="1">
        <v>15</v>
      </c>
      <c r="P42" s="1">
        <v>0</v>
      </c>
    </row>
    <row r="43" spans="1:16" ht="13.2" x14ac:dyDescent="0.25">
      <c r="A43" s="1">
        <v>42</v>
      </c>
      <c r="B43" s="1" t="s">
        <v>22</v>
      </c>
      <c r="C43" s="1">
        <v>0.27</v>
      </c>
      <c r="D43" s="1">
        <f t="shared" si="0"/>
        <v>5.5235579719999999</v>
      </c>
      <c r="E43" s="1">
        <f t="shared" si="1"/>
        <v>22.60867</v>
      </c>
      <c r="F43" s="1">
        <v>0.5</v>
      </c>
      <c r="G43" s="1">
        <v>0.3</v>
      </c>
      <c r="H43" s="1">
        <v>1</v>
      </c>
      <c r="I43" s="1">
        <v>3</v>
      </c>
      <c r="J43" s="1">
        <v>1</v>
      </c>
      <c r="K43" s="1">
        <v>0</v>
      </c>
      <c r="L43" s="1">
        <v>0</v>
      </c>
      <c r="M43" s="1">
        <v>0</v>
      </c>
      <c r="N43" s="1">
        <v>8</v>
      </c>
      <c r="O43" s="1">
        <v>0</v>
      </c>
      <c r="P43" s="1">
        <v>0</v>
      </c>
    </row>
    <row r="44" spans="1:16" ht="13.2" x14ac:dyDescent="0.25">
      <c r="A44" s="1">
        <v>43</v>
      </c>
      <c r="B44" s="1" t="s">
        <v>23</v>
      </c>
      <c r="C44" s="1">
        <v>11</v>
      </c>
      <c r="D44" s="1">
        <f t="shared" si="0"/>
        <v>10.454890000000001</v>
      </c>
      <c r="E44" s="1">
        <f t="shared" si="1"/>
        <v>5.6660000000000004</v>
      </c>
      <c r="F44" s="1">
        <v>0</v>
      </c>
      <c r="G44" s="1">
        <v>7.5</v>
      </c>
      <c r="H44" s="1">
        <v>7</v>
      </c>
      <c r="I44" s="1">
        <v>0.5</v>
      </c>
      <c r="J44" s="1">
        <v>0</v>
      </c>
      <c r="K44" s="1">
        <v>0</v>
      </c>
      <c r="L44" s="1">
        <v>0</v>
      </c>
      <c r="M44" s="1">
        <v>0.25</v>
      </c>
      <c r="N44" s="1">
        <v>9</v>
      </c>
      <c r="O44" s="1">
        <v>5</v>
      </c>
      <c r="P44" s="1">
        <v>2</v>
      </c>
    </row>
    <row r="45" spans="1:16" ht="13.2" x14ac:dyDescent="0.25">
      <c r="A45" s="1">
        <v>44</v>
      </c>
      <c r="B45" s="1" t="s">
        <v>23</v>
      </c>
      <c r="C45" s="1">
        <v>10.5</v>
      </c>
      <c r="D45" s="1">
        <f t="shared" si="0"/>
        <v>10.083515</v>
      </c>
      <c r="E45" s="1">
        <f t="shared" si="1"/>
        <v>6.4555000000000007</v>
      </c>
      <c r="F45" s="1">
        <v>0</v>
      </c>
      <c r="G45" s="1">
        <v>5</v>
      </c>
      <c r="H45" s="1">
        <v>0.5</v>
      </c>
      <c r="I45" s="1">
        <v>0</v>
      </c>
      <c r="J45" s="1">
        <v>0</v>
      </c>
      <c r="K45" s="1">
        <v>4</v>
      </c>
      <c r="L45" s="1">
        <v>0</v>
      </c>
      <c r="M45" s="1">
        <v>0</v>
      </c>
      <c r="N45" s="1">
        <v>0.5</v>
      </c>
      <c r="O45" s="1">
        <v>6</v>
      </c>
      <c r="P45" s="1">
        <v>4</v>
      </c>
    </row>
    <row r="46" spans="1:16" ht="13.2" x14ac:dyDescent="0.25">
      <c r="A46" s="1">
        <v>45</v>
      </c>
      <c r="B46" s="1" t="s">
        <v>23</v>
      </c>
      <c r="C46" s="1">
        <v>8</v>
      </c>
      <c r="D46" s="1">
        <f t="shared" si="0"/>
        <v>8.4342400000000008</v>
      </c>
      <c r="E46" s="1">
        <f t="shared" si="1"/>
        <v>10.403</v>
      </c>
      <c r="F46" s="1">
        <v>0</v>
      </c>
      <c r="G46" s="1">
        <v>5</v>
      </c>
      <c r="H46" s="1">
        <v>4.5</v>
      </c>
      <c r="I46" s="1">
        <v>0</v>
      </c>
      <c r="J46" s="1">
        <v>0</v>
      </c>
      <c r="K46" s="1">
        <v>0</v>
      </c>
      <c r="L46" s="1">
        <v>0</v>
      </c>
      <c r="M46" s="1">
        <v>4.5</v>
      </c>
      <c r="N46" s="1">
        <v>0</v>
      </c>
      <c r="O46" s="1">
        <v>1</v>
      </c>
      <c r="P46" s="1">
        <v>1</v>
      </c>
    </row>
    <row r="47" spans="1:16" ht="13.2" x14ac:dyDescent="0.25">
      <c r="A47" s="1">
        <v>46</v>
      </c>
      <c r="B47" s="1" t="s">
        <v>23</v>
      </c>
      <c r="C47" s="1">
        <v>7.5</v>
      </c>
      <c r="D47" s="1">
        <f t="shared" si="0"/>
        <v>8.1459050000000008</v>
      </c>
      <c r="E47" s="1">
        <f t="shared" si="1"/>
        <v>11.192500000000001</v>
      </c>
      <c r="F47" s="1">
        <v>0</v>
      </c>
      <c r="G47" s="1">
        <v>3.5</v>
      </c>
      <c r="H47" s="1">
        <v>6.5</v>
      </c>
      <c r="I47" s="1">
        <v>0</v>
      </c>
      <c r="J47" s="1">
        <v>0</v>
      </c>
      <c r="K47" s="1">
        <v>0</v>
      </c>
      <c r="L47" s="1">
        <v>0</v>
      </c>
      <c r="M47" s="1">
        <v>3.5</v>
      </c>
      <c r="N47" s="1">
        <v>0.25</v>
      </c>
      <c r="O47" s="1">
        <v>3</v>
      </c>
      <c r="P47" s="1">
        <v>10.5</v>
      </c>
    </row>
    <row r="48" spans="1:16" ht="13.2" x14ac:dyDescent="0.25">
      <c r="A48" s="1">
        <v>47</v>
      </c>
      <c r="B48" s="1" t="s">
        <v>23</v>
      </c>
      <c r="C48" s="1">
        <v>2</v>
      </c>
      <c r="D48" s="1">
        <f t="shared" si="0"/>
        <v>5.8876599999999994</v>
      </c>
      <c r="E48" s="1">
        <f t="shared" si="1"/>
        <v>19.876999999999999</v>
      </c>
      <c r="F48" s="1">
        <v>0</v>
      </c>
      <c r="G48" s="1">
        <v>7</v>
      </c>
      <c r="H48" s="1">
        <v>0.5</v>
      </c>
      <c r="I48" s="1">
        <v>0</v>
      </c>
      <c r="J48" s="1">
        <v>0</v>
      </c>
      <c r="K48" s="1">
        <v>8</v>
      </c>
      <c r="L48" s="1">
        <v>0</v>
      </c>
      <c r="M48" s="1">
        <v>0</v>
      </c>
      <c r="N48" s="1">
        <v>1</v>
      </c>
      <c r="O48" s="1">
        <v>0</v>
      </c>
      <c r="P48" s="1">
        <v>7</v>
      </c>
    </row>
    <row r="49" spans="1:16" ht="13.2" x14ac:dyDescent="0.25">
      <c r="A49" s="1">
        <v>48</v>
      </c>
      <c r="B49" s="1" t="s">
        <v>23</v>
      </c>
      <c r="C49" s="1">
        <v>1.5</v>
      </c>
      <c r="D49" s="1">
        <f t="shared" si="0"/>
        <v>5.7654050000000003</v>
      </c>
      <c r="E49" s="1">
        <f t="shared" si="1"/>
        <v>20.666499999999999</v>
      </c>
      <c r="F49" s="1">
        <v>0</v>
      </c>
      <c r="G49" s="1">
        <v>7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0.5</v>
      </c>
      <c r="O49" s="1">
        <v>0</v>
      </c>
      <c r="P49" s="1">
        <v>4</v>
      </c>
    </row>
    <row r="50" spans="1:16" ht="13.2" x14ac:dyDescent="0.25">
      <c r="A50" s="1">
        <v>49</v>
      </c>
      <c r="B50" s="1" t="s">
        <v>24</v>
      </c>
      <c r="C50" s="1">
        <v>9.2899999999999991</v>
      </c>
      <c r="D50" s="1">
        <f t="shared" si="0"/>
        <v>9.242060188</v>
      </c>
      <c r="E50" s="1">
        <f t="shared" si="1"/>
        <v>8.3660900000000016</v>
      </c>
      <c r="F50" s="1">
        <v>0</v>
      </c>
      <c r="G50" s="1">
        <v>1.5</v>
      </c>
      <c r="H50" s="1">
        <v>1</v>
      </c>
      <c r="I50" s="1">
        <v>0</v>
      </c>
      <c r="J50" s="1">
        <v>0</v>
      </c>
      <c r="K50" s="1">
        <v>4</v>
      </c>
      <c r="L50" s="1">
        <v>0</v>
      </c>
      <c r="M50" s="1">
        <v>0.5</v>
      </c>
      <c r="N50" s="1">
        <v>8</v>
      </c>
      <c r="O50" s="1">
        <v>0.5</v>
      </c>
      <c r="P50" s="1">
        <v>6</v>
      </c>
    </row>
    <row r="51" spans="1:16" ht="13.2" x14ac:dyDescent="0.25">
      <c r="A51" s="1">
        <v>50</v>
      </c>
      <c r="B51" s="1" t="s">
        <v>24</v>
      </c>
      <c r="C51" s="1">
        <v>9.23</v>
      </c>
      <c r="D51" s="1">
        <f t="shared" si="0"/>
        <v>9.2024443720000004</v>
      </c>
      <c r="E51" s="1">
        <f t="shared" si="1"/>
        <v>8.4608299999999996</v>
      </c>
      <c r="F51" s="1">
        <v>0</v>
      </c>
      <c r="G51" s="1">
        <v>4</v>
      </c>
      <c r="H51" s="1">
        <v>4</v>
      </c>
      <c r="I51" s="1">
        <v>0.5</v>
      </c>
      <c r="J51" s="1">
        <v>0</v>
      </c>
      <c r="K51" s="1">
        <v>4</v>
      </c>
      <c r="L51" s="1">
        <v>0</v>
      </c>
      <c r="M51" s="1">
        <v>0</v>
      </c>
      <c r="N51" s="1">
        <v>3</v>
      </c>
      <c r="O51" s="1">
        <v>2.5</v>
      </c>
      <c r="P51" s="1">
        <v>1</v>
      </c>
    </row>
    <row r="52" spans="1:16" ht="13.2" x14ac:dyDescent="0.25">
      <c r="A52" s="1">
        <v>51</v>
      </c>
      <c r="B52" s="1" t="s">
        <v>24</v>
      </c>
      <c r="C52" s="1">
        <v>5.84</v>
      </c>
      <c r="D52" s="1">
        <f t="shared" si="0"/>
        <v>7.2878822079999992</v>
      </c>
      <c r="E52" s="1">
        <f t="shared" si="1"/>
        <v>13.813640000000001</v>
      </c>
      <c r="F52" s="1">
        <v>0</v>
      </c>
      <c r="G52" s="1">
        <v>0.25</v>
      </c>
      <c r="H52" s="1">
        <v>4.5</v>
      </c>
      <c r="I52" s="1">
        <v>1.5</v>
      </c>
      <c r="J52" s="1">
        <v>0</v>
      </c>
      <c r="K52" s="1">
        <v>4</v>
      </c>
      <c r="L52" s="1">
        <v>0</v>
      </c>
      <c r="M52" s="1">
        <v>0</v>
      </c>
      <c r="N52" s="1">
        <v>0.25</v>
      </c>
      <c r="O52" s="1">
        <v>0</v>
      </c>
      <c r="P52" s="1">
        <v>3</v>
      </c>
    </row>
    <row r="53" spans="1:16" ht="13.2" x14ac:dyDescent="0.25">
      <c r="A53" s="1">
        <v>52</v>
      </c>
      <c r="B53" s="1" t="s">
        <v>24</v>
      </c>
      <c r="C53" s="1">
        <v>5.8</v>
      </c>
      <c r="D53" s="1">
        <f t="shared" si="0"/>
        <v>7.2690891999999998</v>
      </c>
      <c r="E53" s="1">
        <f t="shared" si="1"/>
        <v>13.876800000000001</v>
      </c>
      <c r="F53" s="1">
        <v>0</v>
      </c>
      <c r="G53" s="1">
        <v>0.25</v>
      </c>
      <c r="H53" s="1">
        <v>6</v>
      </c>
      <c r="I53" s="1">
        <v>0.75</v>
      </c>
      <c r="J53" s="1">
        <v>1</v>
      </c>
      <c r="K53" s="1">
        <v>0</v>
      </c>
      <c r="L53" s="1">
        <v>0</v>
      </c>
      <c r="M53" s="1">
        <v>0</v>
      </c>
      <c r="N53" s="1">
        <v>1.5</v>
      </c>
      <c r="O53" s="1">
        <v>1</v>
      </c>
      <c r="P53" s="1">
        <v>0.25</v>
      </c>
    </row>
    <row r="54" spans="1:16" ht="13.2" x14ac:dyDescent="0.25">
      <c r="A54" s="1">
        <v>53</v>
      </c>
      <c r="B54" s="1" t="s">
        <v>24</v>
      </c>
      <c r="C54" s="1">
        <v>1.1499999999999999</v>
      </c>
      <c r="D54" s="1">
        <f t="shared" si="0"/>
        <v>5.6880613000000002</v>
      </c>
      <c r="E54" s="1">
        <f t="shared" si="1"/>
        <v>21.219149999999999</v>
      </c>
      <c r="F54" s="1">
        <v>0</v>
      </c>
      <c r="G54" s="1">
        <v>1.75</v>
      </c>
      <c r="H54" s="1">
        <v>0.25</v>
      </c>
      <c r="I54" s="1">
        <v>1.25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1.25</v>
      </c>
      <c r="P54" s="1">
        <v>0</v>
      </c>
    </row>
    <row r="55" spans="1:16" ht="13.2" x14ac:dyDescent="0.25">
      <c r="A55" s="1">
        <v>54</v>
      </c>
      <c r="B55" s="1" t="s">
        <v>24</v>
      </c>
      <c r="C55" s="1">
        <v>1.3</v>
      </c>
      <c r="D55" s="1">
        <f t="shared" si="0"/>
        <v>5.7203781999999999</v>
      </c>
      <c r="E55" s="1">
        <f t="shared" si="1"/>
        <v>20.982299999999999</v>
      </c>
      <c r="F55" s="1">
        <v>0</v>
      </c>
      <c r="G55" s="1">
        <v>2</v>
      </c>
      <c r="H55" s="1">
        <v>0</v>
      </c>
      <c r="I55" s="1">
        <v>0.5</v>
      </c>
      <c r="J55" s="1">
        <v>0</v>
      </c>
      <c r="K55" s="1">
        <v>4</v>
      </c>
      <c r="L55" s="1">
        <v>0</v>
      </c>
      <c r="M55" s="1">
        <v>0</v>
      </c>
      <c r="N55" s="1">
        <v>0</v>
      </c>
      <c r="O55" s="1">
        <v>0</v>
      </c>
      <c r="P55" s="1">
        <v>4</v>
      </c>
    </row>
    <row r="56" spans="1:16" ht="13.2" x14ac:dyDescent="0.25">
      <c r="A56" s="1">
        <v>55</v>
      </c>
      <c r="B56" s="1" t="s">
        <v>25</v>
      </c>
      <c r="C56" s="1">
        <v>4.8</v>
      </c>
      <c r="D56" s="1">
        <f t="shared" si="0"/>
        <v>6.8280512</v>
      </c>
      <c r="E56" s="1">
        <f t="shared" si="1"/>
        <v>15.4558</v>
      </c>
      <c r="F56" s="1">
        <v>0</v>
      </c>
      <c r="G56" s="1">
        <v>12.5</v>
      </c>
      <c r="H56" s="1">
        <v>3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5</v>
      </c>
      <c r="O56" s="1">
        <v>5</v>
      </c>
      <c r="P56" s="1">
        <v>2.5</v>
      </c>
    </row>
    <row r="57" spans="1:16" ht="13.2" x14ac:dyDescent="0.25">
      <c r="A57" s="1">
        <v>56</v>
      </c>
      <c r="B57" s="1" t="s">
        <v>25</v>
      </c>
      <c r="C57" s="1">
        <v>0.9</v>
      </c>
      <c r="D57" s="1">
        <f t="shared" si="0"/>
        <v>5.6369677999999999</v>
      </c>
      <c r="E57" s="1">
        <f t="shared" si="1"/>
        <v>21.613900000000001</v>
      </c>
      <c r="F57" s="1">
        <v>0</v>
      </c>
      <c r="G57" s="1">
        <v>11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0.5</v>
      </c>
      <c r="N57" s="1">
        <v>2</v>
      </c>
      <c r="O57" s="1">
        <v>11</v>
      </c>
      <c r="P57" s="1">
        <v>5</v>
      </c>
    </row>
    <row r="58" spans="1:16" ht="13.2" x14ac:dyDescent="0.25">
      <c r="A58" s="1">
        <v>57</v>
      </c>
      <c r="B58" s="1" t="s">
        <v>25</v>
      </c>
      <c r="C58" s="1">
        <v>1.5</v>
      </c>
      <c r="D58" s="1">
        <f t="shared" si="0"/>
        <v>5.7654050000000003</v>
      </c>
      <c r="E58" s="1">
        <f t="shared" si="1"/>
        <v>20.666499999999999</v>
      </c>
      <c r="F58" s="1">
        <v>0</v>
      </c>
      <c r="G58" s="1">
        <v>15</v>
      </c>
      <c r="H58" s="1">
        <v>0</v>
      </c>
      <c r="I58" s="1">
        <v>0</v>
      </c>
      <c r="J58" s="1">
        <v>0</v>
      </c>
      <c r="K58" s="1">
        <v>4.5</v>
      </c>
      <c r="L58" s="1">
        <v>0</v>
      </c>
      <c r="M58" s="1">
        <v>0</v>
      </c>
      <c r="N58" s="1">
        <v>4.5</v>
      </c>
      <c r="O58" s="1">
        <v>0</v>
      </c>
      <c r="P58" s="1">
        <v>14</v>
      </c>
    </row>
    <row r="59" spans="1:16" ht="13.2" x14ac:dyDescent="0.25">
      <c r="A59" s="1">
        <v>58</v>
      </c>
      <c r="B59" s="1" t="s">
        <v>25</v>
      </c>
      <c r="C59" s="1">
        <v>4.9000000000000004</v>
      </c>
      <c r="D59" s="1">
        <f t="shared" si="0"/>
        <v>6.8696637999999997</v>
      </c>
      <c r="E59" s="1">
        <f t="shared" si="1"/>
        <v>15.297899999999998</v>
      </c>
      <c r="F59" s="1">
        <v>0</v>
      </c>
      <c r="G59" s="1">
        <v>14</v>
      </c>
      <c r="H59" s="1">
        <v>4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4.5</v>
      </c>
      <c r="O59" s="1">
        <v>2</v>
      </c>
      <c r="P59" s="1">
        <v>2</v>
      </c>
    </row>
    <row r="60" spans="1:16" ht="13.2" x14ac:dyDescent="0.25">
      <c r="A60" s="1">
        <v>59</v>
      </c>
      <c r="B60" s="1" t="s">
        <v>25</v>
      </c>
      <c r="C60" s="1">
        <v>11</v>
      </c>
      <c r="D60" s="1">
        <f t="shared" si="0"/>
        <v>10.454890000000001</v>
      </c>
      <c r="E60" s="1">
        <f t="shared" si="1"/>
        <v>5.6660000000000004</v>
      </c>
      <c r="F60" s="1">
        <v>0</v>
      </c>
      <c r="G60" s="1">
        <v>10.5</v>
      </c>
      <c r="H60" s="1">
        <v>8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6</v>
      </c>
      <c r="O60" s="1">
        <v>4</v>
      </c>
      <c r="P60" s="1">
        <v>4</v>
      </c>
    </row>
    <row r="61" spans="1:16" ht="13.2" x14ac:dyDescent="0.25">
      <c r="A61" s="1">
        <v>60</v>
      </c>
      <c r="B61" s="1" t="s">
        <v>25</v>
      </c>
      <c r="C61" s="1">
        <v>11.4</v>
      </c>
      <c r="D61" s="1">
        <f t="shared" si="0"/>
        <v>10.7619548</v>
      </c>
      <c r="E61" s="1">
        <f t="shared" si="1"/>
        <v>5.0344000000000015</v>
      </c>
      <c r="F61" s="1">
        <v>0</v>
      </c>
      <c r="G61" s="1">
        <v>10.5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5.5</v>
      </c>
      <c r="O61" s="1">
        <v>0.5</v>
      </c>
      <c r="P61" s="1">
        <v>0</v>
      </c>
    </row>
    <row r="62" spans="1:16" ht="13.2" x14ac:dyDescent="0.25">
      <c r="A62" s="1">
        <v>61</v>
      </c>
      <c r="B62" s="1" t="s">
        <v>26</v>
      </c>
      <c r="C62" s="1">
        <v>1</v>
      </c>
      <c r="D62" s="1">
        <f t="shared" si="0"/>
        <v>5.6569900000000004</v>
      </c>
      <c r="E62" s="1">
        <f t="shared" si="1"/>
        <v>21.456</v>
      </c>
      <c r="F62" s="1">
        <v>0</v>
      </c>
      <c r="G62" s="1">
        <v>17.5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1.35</v>
      </c>
      <c r="O62" s="1">
        <v>2.5</v>
      </c>
      <c r="P62" s="1">
        <v>4.5</v>
      </c>
    </row>
    <row r="63" spans="1:16" ht="13.2" x14ac:dyDescent="0.25">
      <c r="A63" s="1">
        <v>62</v>
      </c>
      <c r="B63" s="1" t="s">
        <v>26</v>
      </c>
      <c r="C63" s="1">
        <v>6</v>
      </c>
      <c r="D63" s="1">
        <f t="shared" si="0"/>
        <v>7.3639399999999995</v>
      </c>
      <c r="E63" s="1">
        <f t="shared" si="1"/>
        <v>13.561</v>
      </c>
      <c r="F63" s="1">
        <v>0</v>
      </c>
      <c r="G63" s="1">
        <v>1</v>
      </c>
      <c r="H63" s="1">
        <v>5</v>
      </c>
      <c r="I63" s="1">
        <v>0</v>
      </c>
      <c r="J63" s="1">
        <v>9.5</v>
      </c>
      <c r="K63" s="1">
        <v>1</v>
      </c>
      <c r="L63" s="1">
        <v>0</v>
      </c>
      <c r="M63" s="1">
        <v>3</v>
      </c>
      <c r="N63" s="1">
        <v>1.5</v>
      </c>
      <c r="O63" s="1">
        <v>0.5</v>
      </c>
      <c r="P63" s="1">
        <v>0</v>
      </c>
    </row>
    <row r="64" spans="1:16" ht="13.2" x14ac:dyDescent="0.25">
      <c r="A64" s="1">
        <v>63</v>
      </c>
      <c r="B64" s="1" t="s">
        <v>26</v>
      </c>
      <c r="C64" s="1">
        <v>4.5</v>
      </c>
      <c r="D64" s="1">
        <f t="shared" si="0"/>
        <v>6.7065350000000006</v>
      </c>
      <c r="E64" s="1">
        <f t="shared" si="1"/>
        <v>15.929500000000001</v>
      </c>
      <c r="F64" s="1">
        <v>0</v>
      </c>
      <c r="G64" s="1">
        <v>21</v>
      </c>
      <c r="H64" s="1">
        <v>2</v>
      </c>
      <c r="I64" s="1">
        <v>0</v>
      </c>
      <c r="J64" s="1">
        <v>0</v>
      </c>
      <c r="K64" s="1">
        <v>1</v>
      </c>
      <c r="L64" s="1">
        <v>0</v>
      </c>
      <c r="M64" s="1">
        <v>1</v>
      </c>
      <c r="N64" s="1">
        <v>0</v>
      </c>
      <c r="O64" s="1">
        <v>1.5</v>
      </c>
      <c r="P64" s="1">
        <v>3</v>
      </c>
    </row>
    <row r="65" spans="1:16" ht="13.2" x14ac:dyDescent="0.25">
      <c r="A65" s="1">
        <v>64</v>
      </c>
      <c r="B65" s="3" t="s">
        <v>26</v>
      </c>
      <c r="C65" s="1">
        <v>2.5</v>
      </c>
      <c r="D65" s="1">
        <f t="shared" si="0"/>
        <v>6.0237549999999995</v>
      </c>
      <c r="E65" s="1">
        <f t="shared" si="1"/>
        <v>19.087499999999999</v>
      </c>
      <c r="F65" s="1">
        <v>0</v>
      </c>
      <c r="G65" s="1">
        <v>8.5</v>
      </c>
      <c r="H65" s="1">
        <v>0</v>
      </c>
      <c r="I65" s="1">
        <v>0</v>
      </c>
      <c r="J65" s="1">
        <v>0</v>
      </c>
      <c r="K65" s="1">
        <v>2.5</v>
      </c>
      <c r="L65" s="1">
        <v>0</v>
      </c>
      <c r="M65" s="1">
        <v>0</v>
      </c>
      <c r="N65" s="1">
        <v>5</v>
      </c>
      <c r="O65" s="1">
        <v>0</v>
      </c>
      <c r="P65" s="1">
        <v>7.5</v>
      </c>
    </row>
    <row r="66" spans="1:16" ht="13.2" x14ac:dyDescent="0.25">
      <c r="A66" s="1">
        <v>65</v>
      </c>
      <c r="B66" s="3" t="s">
        <v>26</v>
      </c>
      <c r="C66" s="1">
        <v>10</v>
      </c>
      <c r="D66" s="1">
        <f t="shared" si="0"/>
        <v>9.7259799999999998</v>
      </c>
      <c r="E66" s="1">
        <f t="shared" si="1"/>
        <v>7.245000000000001</v>
      </c>
      <c r="F66" s="1">
        <v>0</v>
      </c>
      <c r="G66" s="1">
        <v>2</v>
      </c>
      <c r="H66" s="1">
        <v>2</v>
      </c>
      <c r="I66" s="1">
        <v>0</v>
      </c>
      <c r="J66" s="1">
        <v>0</v>
      </c>
      <c r="K66" s="1">
        <v>0</v>
      </c>
      <c r="L66" s="1">
        <v>0</v>
      </c>
      <c r="M66" s="1">
        <v>2.5</v>
      </c>
      <c r="N66" s="1">
        <v>3.75</v>
      </c>
      <c r="O66" s="1">
        <v>5</v>
      </c>
      <c r="P66" s="1">
        <v>0</v>
      </c>
    </row>
    <row r="67" spans="1:16" ht="13.2" x14ac:dyDescent="0.25">
      <c r="A67" s="1">
        <v>66</v>
      </c>
      <c r="B67" s="3" t="s">
        <v>26</v>
      </c>
      <c r="C67" s="1">
        <v>11.2</v>
      </c>
      <c r="D67" s="1">
        <f t="shared" si="0"/>
        <v>10.607315199999999</v>
      </c>
      <c r="E67" s="1">
        <f t="shared" si="1"/>
        <v>5.350200000000001</v>
      </c>
      <c r="F67" s="1">
        <v>5</v>
      </c>
      <c r="G67" s="1">
        <v>9.5</v>
      </c>
      <c r="H67" s="1">
        <v>0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4.75</v>
      </c>
      <c r="O67" s="1">
        <v>3.75</v>
      </c>
      <c r="P67" s="1">
        <v>2.5</v>
      </c>
    </row>
    <row r="68" spans="1:16" ht="16.5" customHeight="1" x14ac:dyDescent="0.25">
      <c r="A68" s="1">
        <v>67</v>
      </c>
      <c r="B68" s="3" t="s">
        <v>27</v>
      </c>
      <c r="C68" s="1">
        <v>0</v>
      </c>
      <c r="D68" s="1">
        <f t="shared" si="0"/>
        <v>5.4816799999999999</v>
      </c>
      <c r="E68" s="1">
        <f t="shared" si="1"/>
        <v>23.035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4</v>
      </c>
      <c r="L68" s="1">
        <v>0</v>
      </c>
      <c r="M68" s="1">
        <v>0</v>
      </c>
      <c r="N68" s="1">
        <v>32</v>
      </c>
      <c r="O68" s="1">
        <v>0</v>
      </c>
      <c r="P68" s="1">
        <v>4</v>
      </c>
    </row>
    <row r="69" spans="1:16" ht="13.2" x14ac:dyDescent="0.25">
      <c r="A69" s="1">
        <v>68</v>
      </c>
      <c r="B69" s="3" t="s">
        <v>27</v>
      </c>
      <c r="C69" s="1">
        <v>1</v>
      </c>
      <c r="D69" s="1">
        <f t="shared" si="0"/>
        <v>5.6569900000000004</v>
      </c>
      <c r="E69" s="1">
        <f t="shared" si="1"/>
        <v>21.456</v>
      </c>
      <c r="F69" s="1">
        <v>0</v>
      </c>
      <c r="G69" s="1">
        <v>10</v>
      </c>
      <c r="H69" s="1">
        <v>0</v>
      </c>
      <c r="I69" s="1">
        <v>0</v>
      </c>
      <c r="J69" s="1">
        <v>0</v>
      </c>
      <c r="K69" s="1">
        <v>4</v>
      </c>
      <c r="L69" s="1">
        <v>0</v>
      </c>
      <c r="M69" s="1">
        <v>0</v>
      </c>
      <c r="N69" s="1">
        <v>7</v>
      </c>
      <c r="O69" s="1">
        <v>0</v>
      </c>
      <c r="P69" s="1">
        <v>13</v>
      </c>
    </row>
    <row r="70" spans="1:16" ht="13.2" x14ac:dyDescent="0.25">
      <c r="A70" s="1">
        <v>69</v>
      </c>
      <c r="B70" s="3" t="s">
        <v>27</v>
      </c>
      <c r="C70" s="1">
        <v>3.6</v>
      </c>
      <c r="D70" s="1">
        <f t="shared" si="0"/>
        <v>6.3718808000000005</v>
      </c>
      <c r="E70" s="1">
        <f t="shared" si="1"/>
        <v>17.3506</v>
      </c>
      <c r="F70" s="1">
        <v>0</v>
      </c>
      <c r="G70" s="1">
        <v>7</v>
      </c>
      <c r="H70" s="1">
        <v>12</v>
      </c>
      <c r="I70" s="1">
        <v>0</v>
      </c>
      <c r="J70" s="1">
        <v>0</v>
      </c>
      <c r="K70" s="1">
        <v>4</v>
      </c>
      <c r="L70" s="1">
        <v>0</v>
      </c>
      <c r="M70" s="1">
        <v>0</v>
      </c>
      <c r="N70" s="1">
        <v>15</v>
      </c>
      <c r="O70" s="1">
        <v>0</v>
      </c>
      <c r="P70" s="1">
        <v>1</v>
      </c>
    </row>
    <row r="71" spans="1:16" ht="13.2" x14ac:dyDescent="0.25">
      <c r="A71" s="1">
        <v>70</v>
      </c>
      <c r="B71" s="3" t="s">
        <v>27</v>
      </c>
      <c r="C71" s="1">
        <v>5.3</v>
      </c>
      <c r="D71" s="1">
        <f t="shared" si="0"/>
        <v>7.0416502000000003</v>
      </c>
      <c r="E71" s="1">
        <f t="shared" si="1"/>
        <v>14.666300000000001</v>
      </c>
      <c r="F71" s="1">
        <v>0</v>
      </c>
      <c r="G71" s="1">
        <v>4</v>
      </c>
      <c r="H71" s="1">
        <v>15</v>
      </c>
      <c r="I71" s="1">
        <v>0</v>
      </c>
      <c r="J71" s="1">
        <v>0</v>
      </c>
      <c r="K71" s="1">
        <v>6</v>
      </c>
      <c r="L71" s="1">
        <v>0</v>
      </c>
      <c r="M71" s="1">
        <v>6</v>
      </c>
      <c r="N71" s="1">
        <v>25</v>
      </c>
      <c r="O71" s="1">
        <v>3</v>
      </c>
      <c r="P71" s="1">
        <v>5</v>
      </c>
    </row>
    <row r="72" spans="1:16" ht="13.2" x14ac:dyDescent="0.25">
      <c r="A72" s="1">
        <v>71</v>
      </c>
      <c r="B72" s="3" t="s">
        <v>27</v>
      </c>
      <c r="C72" s="1">
        <v>7.3</v>
      </c>
      <c r="D72" s="1">
        <f t="shared" si="0"/>
        <v>8.0344461999999996</v>
      </c>
      <c r="E72" s="1">
        <f t="shared" si="1"/>
        <v>11.5083</v>
      </c>
      <c r="F72" s="1">
        <v>0</v>
      </c>
      <c r="G72" s="1">
        <v>2</v>
      </c>
      <c r="H72" s="1">
        <v>19</v>
      </c>
      <c r="I72" s="1">
        <v>0</v>
      </c>
      <c r="J72" s="1">
        <v>2</v>
      </c>
      <c r="K72" s="1">
        <v>16</v>
      </c>
      <c r="L72" s="1">
        <v>0</v>
      </c>
      <c r="M72" s="1">
        <v>0</v>
      </c>
      <c r="N72" s="1">
        <v>14</v>
      </c>
      <c r="O72" s="1">
        <v>1</v>
      </c>
      <c r="P72" s="1">
        <v>5</v>
      </c>
    </row>
    <row r="73" spans="1:16" ht="13.2" x14ac:dyDescent="0.25">
      <c r="A73" s="1">
        <v>72</v>
      </c>
      <c r="B73" s="3" t="s">
        <v>27</v>
      </c>
      <c r="C73" s="1">
        <v>9.6999999999999993</v>
      </c>
      <c r="D73" s="1">
        <f t="shared" si="0"/>
        <v>9.5181021999999995</v>
      </c>
      <c r="E73" s="1">
        <f t="shared" si="1"/>
        <v>7.7187000000000019</v>
      </c>
      <c r="F73" s="1">
        <v>0</v>
      </c>
      <c r="G73" s="1">
        <v>3</v>
      </c>
      <c r="H73" s="1">
        <v>7</v>
      </c>
      <c r="I73" s="1">
        <v>1</v>
      </c>
      <c r="J73" s="1">
        <v>0</v>
      </c>
      <c r="K73" s="1">
        <v>7</v>
      </c>
      <c r="L73" s="1">
        <v>0</v>
      </c>
      <c r="M73" s="1">
        <v>0</v>
      </c>
      <c r="N73" s="1">
        <v>18</v>
      </c>
      <c r="O73" s="1">
        <v>0</v>
      </c>
      <c r="P73" s="1">
        <v>7</v>
      </c>
    </row>
    <row r="74" spans="1:16" ht="13.2" x14ac:dyDescent="0.25">
      <c r="A74" s="1">
        <v>73</v>
      </c>
      <c r="B74" s="3" t="s">
        <v>28</v>
      </c>
      <c r="C74" s="1">
        <v>10</v>
      </c>
      <c r="D74" s="1">
        <f t="shared" si="0"/>
        <v>9.7259799999999998</v>
      </c>
      <c r="E74" s="1">
        <f t="shared" si="1"/>
        <v>7.245000000000001</v>
      </c>
      <c r="F74" s="1">
        <v>0.2</v>
      </c>
      <c r="G74" s="1">
        <v>2</v>
      </c>
      <c r="H74" s="1">
        <v>8</v>
      </c>
      <c r="I74" s="1">
        <v>0</v>
      </c>
      <c r="J74" s="1">
        <v>2</v>
      </c>
      <c r="K74" s="1">
        <v>0.4</v>
      </c>
      <c r="L74" s="1">
        <v>1.6</v>
      </c>
      <c r="M74" s="1">
        <v>0.6</v>
      </c>
      <c r="N74" s="1">
        <v>8</v>
      </c>
      <c r="O74" s="1">
        <v>4.5999999999999996</v>
      </c>
      <c r="P74" s="1">
        <v>2.2000000000000002</v>
      </c>
    </row>
    <row r="75" spans="1:16" ht="13.2" x14ac:dyDescent="0.25">
      <c r="A75" s="1">
        <v>74</v>
      </c>
      <c r="B75" s="3" t="s">
        <v>28</v>
      </c>
      <c r="C75" s="1">
        <v>10</v>
      </c>
      <c r="D75" s="1">
        <f t="shared" si="0"/>
        <v>9.7259799999999998</v>
      </c>
      <c r="E75" s="1">
        <f t="shared" si="1"/>
        <v>7.245000000000001</v>
      </c>
      <c r="F75" s="1">
        <v>1.6</v>
      </c>
      <c r="G75" s="1">
        <v>7</v>
      </c>
      <c r="H75" s="1">
        <v>1.6</v>
      </c>
      <c r="I75" s="1">
        <v>0.4</v>
      </c>
      <c r="J75" s="1">
        <v>1.2</v>
      </c>
      <c r="K75" s="1">
        <v>0</v>
      </c>
      <c r="L75" s="1">
        <v>0</v>
      </c>
      <c r="M75" s="1">
        <v>0.2</v>
      </c>
      <c r="N75" s="1">
        <v>9.1999999999999993</v>
      </c>
      <c r="O75" s="1">
        <v>0</v>
      </c>
      <c r="P75" s="1">
        <v>2.2000000000000002</v>
      </c>
    </row>
    <row r="76" spans="1:16" ht="13.2" x14ac:dyDescent="0.25">
      <c r="A76" s="1">
        <v>75</v>
      </c>
      <c r="B76" s="3" t="s">
        <v>28</v>
      </c>
      <c r="C76" s="1">
        <v>6</v>
      </c>
      <c r="D76" s="1">
        <f t="shared" si="0"/>
        <v>7.3639399999999995</v>
      </c>
      <c r="E76" s="1">
        <f t="shared" si="1"/>
        <v>13.561</v>
      </c>
      <c r="F76" s="1">
        <v>4.4000000000000004</v>
      </c>
      <c r="G76" s="1">
        <v>2.4</v>
      </c>
      <c r="H76" s="1">
        <v>3.8</v>
      </c>
      <c r="I76" s="1">
        <v>0</v>
      </c>
      <c r="J76" s="1">
        <v>0</v>
      </c>
      <c r="K76" s="1">
        <v>1.6</v>
      </c>
      <c r="L76" s="1">
        <v>0.2</v>
      </c>
      <c r="M76" s="1">
        <v>1.2</v>
      </c>
      <c r="N76" s="1">
        <v>2.8</v>
      </c>
      <c r="O76" s="1">
        <v>0</v>
      </c>
      <c r="P76" s="1">
        <v>1.2</v>
      </c>
    </row>
    <row r="77" spans="1:16" ht="13.2" x14ac:dyDescent="0.25">
      <c r="A77" s="1">
        <v>76</v>
      </c>
      <c r="B77" s="3" t="s">
        <v>28</v>
      </c>
      <c r="C77" s="1">
        <v>6</v>
      </c>
      <c r="D77" s="1">
        <f t="shared" si="0"/>
        <v>7.3639399999999995</v>
      </c>
      <c r="E77" s="1">
        <f t="shared" si="1"/>
        <v>13.561</v>
      </c>
      <c r="F77" s="1">
        <v>2.8</v>
      </c>
      <c r="G77" s="1">
        <v>3.4</v>
      </c>
      <c r="H77" s="1">
        <v>0.4</v>
      </c>
      <c r="I77" s="1">
        <v>0</v>
      </c>
      <c r="J77" s="1">
        <v>2.8</v>
      </c>
      <c r="K77" s="1">
        <v>0.8</v>
      </c>
      <c r="L77" s="1">
        <v>0</v>
      </c>
      <c r="M77" s="1">
        <v>0</v>
      </c>
      <c r="N77" s="1">
        <v>2.4</v>
      </c>
      <c r="O77" s="1">
        <v>0</v>
      </c>
      <c r="P77" s="1">
        <v>0</v>
      </c>
    </row>
    <row r="78" spans="1:16" ht="13.2" x14ac:dyDescent="0.25">
      <c r="A78" s="1">
        <v>77</v>
      </c>
      <c r="B78" s="3" t="s">
        <v>28</v>
      </c>
      <c r="C78" s="1">
        <v>2</v>
      </c>
      <c r="D78" s="1">
        <f t="shared" si="0"/>
        <v>5.8876599999999994</v>
      </c>
      <c r="E78" s="1">
        <f t="shared" si="1"/>
        <v>19.876999999999999</v>
      </c>
      <c r="F78" s="1">
        <v>0.2</v>
      </c>
      <c r="G78" s="1">
        <v>1.4</v>
      </c>
      <c r="H78" s="1">
        <v>4.2</v>
      </c>
      <c r="I78" s="1">
        <v>0</v>
      </c>
      <c r="J78" s="1">
        <v>0.2</v>
      </c>
      <c r="K78" s="1">
        <v>8</v>
      </c>
      <c r="L78" s="1">
        <v>0</v>
      </c>
      <c r="M78" s="1">
        <v>0</v>
      </c>
      <c r="N78" s="1">
        <v>14.8</v>
      </c>
      <c r="O78" s="1">
        <v>0.16</v>
      </c>
      <c r="P78" s="1">
        <v>0</v>
      </c>
    </row>
    <row r="79" spans="1:16" ht="13.2" x14ac:dyDescent="0.25">
      <c r="A79" s="1">
        <v>78</v>
      </c>
      <c r="B79" s="3" t="s">
        <v>28</v>
      </c>
      <c r="C79" s="1">
        <v>2</v>
      </c>
      <c r="D79" s="1">
        <f t="shared" si="0"/>
        <v>5.8876599999999994</v>
      </c>
      <c r="E79" s="1">
        <f t="shared" si="1"/>
        <v>19.876999999999999</v>
      </c>
      <c r="F79" s="1">
        <v>2.8</v>
      </c>
      <c r="G79" s="1">
        <v>0.4</v>
      </c>
      <c r="H79" s="1">
        <v>4.5999999999999996</v>
      </c>
      <c r="I79" s="1">
        <v>0</v>
      </c>
      <c r="J79" s="1">
        <v>0</v>
      </c>
      <c r="K79" s="1">
        <v>2</v>
      </c>
      <c r="L79" s="1">
        <v>0</v>
      </c>
      <c r="M79" s="1">
        <v>2.5000000000000001E-2</v>
      </c>
      <c r="N79" s="1">
        <v>2.4</v>
      </c>
      <c r="O79" s="1">
        <v>3.2</v>
      </c>
      <c r="P79" s="1">
        <v>0</v>
      </c>
    </row>
    <row r="80" spans="1:16" ht="13.2" x14ac:dyDescent="0.25">
      <c r="A80" s="1">
        <v>79</v>
      </c>
      <c r="B80" s="1" t="s">
        <v>29</v>
      </c>
      <c r="C80" s="1">
        <v>2</v>
      </c>
      <c r="D80" s="1">
        <f t="shared" si="0"/>
        <v>5.8876599999999994</v>
      </c>
      <c r="E80" s="1">
        <f t="shared" si="1"/>
        <v>19.876999999999999</v>
      </c>
      <c r="F80" s="1">
        <v>0</v>
      </c>
      <c r="G80" s="1">
        <v>5</v>
      </c>
      <c r="H80" s="1">
        <v>2</v>
      </c>
      <c r="I80" s="1">
        <v>0</v>
      </c>
      <c r="J80" s="1">
        <v>1</v>
      </c>
      <c r="K80" s="1">
        <v>0</v>
      </c>
      <c r="L80" s="1">
        <v>0</v>
      </c>
      <c r="M80" s="1">
        <v>4</v>
      </c>
      <c r="N80" s="1">
        <v>1</v>
      </c>
      <c r="O80" s="1">
        <v>0</v>
      </c>
      <c r="P80" s="1">
        <v>4</v>
      </c>
    </row>
    <row r="81" spans="1:16" ht="13.2" x14ac:dyDescent="0.25">
      <c r="A81" s="1">
        <v>80</v>
      </c>
      <c r="B81" s="1" t="s">
        <v>29</v>
      </c>
      <c r="C81" s="1">
        <v>0</v>
      </c>
      <c r="D81" s="1">
        <f t="shared" si="0"/>
        <v>5.4816799999999999</v>
      </c>
      <c r="E81" s="1">
        <f t="shared" si="1"/>
        <v>23.035</v>
      </c>
      <c r="F81" s="1">
        <v>1</v>
      </c>
      <c r="G81" s="1">
        <v>0</v>
      </c>
      <c r="H81" s="1">
        <v>2</v>
      </c>
      <c r="I81" s="1">
        <v>0</v>
      </c>
      <c r="J81" s="1">
        <v>0</v>
      </c>
      <c r="K81" s="1">
        <v>18</v>
      </c>
      <c r="L81" s="1">
        <v>0</v>
      </c>
      <c r="M81" s="1">
        <v>0</v>
      </c>
      <c r="N81" s="1">
        <v>4</v>
      </c>
      <c r="O81" s="1">
        <v>0</v>
      </c>
      <c r="P81" s="1">
        <v>17</v>
      </c>
    </row>
    <row r="82" spans="1:16" ht="13.2" x14ac:dyDescent="0.25">
      <c r="A82" s="1">
        <v>81</v>
      </c>
      <c r="B82" s="1" t="s">
        <v>29</v>
      </c>
      <c r="C82" s="1">
        <v>8</v>
      </c>
      <c r="D82" s="1">
        <f t="shared" si="0"/>
        <v>8.4342400000000008</v>
      </c>
      <c r="E82" s="1">
        <f t="shared" si="1"/>
        <v>10.403</v>
      </c>
      <c r="F82" s="1">
        <v>0</v>
      </c>
      <c r="G82" s="1">
        <v>12</v>
      </c>
      <c r="H82" s="1">
        <v>20</v>
      </c>
      <c r="I82" s="1">
        <v>2</v>
      </c>
      <c r="J82" s="1">
        <v>0</v>
      </c>
      <c r="K82" s="1">
        <v>4</v>
      </c>
      <c r="L82" s="1">
        <v>0</v>
      </c>
      <c r="M82" s="1">
        <v>0</v>
      </c>
      <c r="N82" s="1">
        <v>11</v>
      </c>
      <c r="O82" s="1">
        <v>2</v>
      </c>
      <c r="P82" s="1">
        <v>3</v>
      </c>
    </row>
    <row r="83" spans="1:16" ht="13.2" x14ac:dyDescent="0.25">
      <c r="A83" s="1">
        <v>82</v>
      </c>
      <c r="B83" s="1" t="s">
        <v>29</v>
      </c>
      <c r="C83" s="1">
        <v>4</v>
      </c>
      <c r="D83" s="1">
        <f t="shared" si="0"/>
        <v>6.5150799999999993</v>
      </c>
      <c r="E83" s="1">
        <f t="shared" si="1"/>
        <v>16.719000000000001</v>
      </c>
      <c r="F83" s="1">
        <v>0</v>
      </c>
      <c r="G83" s="1">
        <v>9</v>
      </c>
      <c r="H83" s="1">
        <v>6</v>
      </c>
      <c r="I83" s="1">
        <v>0</v>
      </c>
      <c r="J83" s="1">
        <v>5</v>
      </c>
      <c r="K83" s="1">
        <v>5</v>
      </c>
      <c r="L83" s="1">
        <v>0</v>
      </c>
      <c r="M83" s="1">
        <v>0</v>
      </c>
      <c r="N83" s="1">
        <v>0</v>
      </c>
      <c r="O83" s="1">
        <v>9</v>
      </c>
      <c r="P83" s="1">
        <v>1</v>
      </c>
    </row>
    <row r="84" spans="1:16" ht="13.2" x14ac:dyDescent="0.25">
      <c r="A84" s="1">
        <v>83</v>
      </c>
      <c r="B84" s="1" t="s">
        <v>29</v>
      </c>
      <c r="C84" s="1">
        <v>9</v>
      </c>
      <c r="D84" s="1">
        <f t="shared" si="0"/>
        <v>9.0524299999999993</v>
      </c>
      <c r="E84" s="1">
        <f t="shared" si="1"/>
        <v>8.8239999999999998</v>
      </c>
      <c r="F84" s="1">
        <v>0</v>
      </c>
      <c r="G84" s="1">
        <v>6</v>
      </c>
      <c r="H84" s="1">
        <v>4</v>
      </c>
      <c r="I84" s="1">
        <v>2</v>
      </c>
      <c r="J84" s="1">
        <v>0</v>
      </c>
      <c r="K84" s="1">
        <v>12</v>
      </c>
      <c r="L84" s="1">
        <v>0</v>
      </c>
      <c r="M84" s="1">
        <v>0</v>
      </c>
      <c r="N84" s="1">
        <v>4</v>
      </c>
      <c r="O84" s="1">
        <v>20</v>
      </c>
      <c r="P84" s="1">
        <v>8</v>
      </c>
    </row>
    <row r="85" spans="1:16" ht="13.2" x14ac:dyDescent="0.25">
      <c r="A85" s="1">
        <v>84</v>
      </c>
      <c r="B85" s="1" t="s">
        <v>29</v>
      </c>
      <c r="C85" s="1">
        <v>11</v>
      </c>
      <c r="D85" s="1">
        <f t="shared" si="0"/>
        <v>10.454890000000001</v>
      </c>
      <c r="E85" s="1">
        <f t="shared" si="1"/>
        <v>5.6660000000000004</v>
      </c>
      <c r="F85" s="1">
        <v>0</v>
      </c>
      <c r="G85" s="1">
        <v>12</v>
      </c>
      <c r="H85" s="1">
        <v>10</v>
      </c>
      <c r="I85" s="1">
        <v>0</v>
      </c>
      <c r="J85" s="1">
        <v>0</v>
      </c>
      <c r="K85" s="1">
        <v>2</v>
      </c>
      <c r="L85" s="1">
        <v>0</v>
      </c>
      <c r="M85" s="1">
        <v>1</v>
      </c>
      <c r="N85" s="1">
        <v>13</v>
      </c>
      <c r="O85" s="1">
        <v>7</v>
      </c>
      <c r="P85" s="1">
        <v>4</v>
      </c>
    </row>
    <row r="86" spans="1:16" ht="13.2" x14ac:dyDescent="0.25">
      <c r="B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5"/>
  <sheetViews>
    <sheetView workbookViewId="0">
      <selection activeCell="B18" sqref="B18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1">
        <v>1</v>
      </c>
      <c r="B2" s="1" t="s">
        <v>30</v>
      </c>
      <c r="C2" s="1">
        <v>12.5</v>
      </c>
      <c r="D2" s="1">
        <v>2</v>
      </c>
      <c r="E2" s="1">
        <v>1</v>
      </c>
      <c r="F2" s="1">
        <v>3</v>
      </c>
      <c r="G2" s="1">
        <v>0</v>
      </c>
      <c r="H2" s="1">
        <v>5</v>
      </c>
      <c r="I2" s="1">
        <v>2</v>
      </c>
      <c r="J2" s="1">
        <v>1</v>
      </c>
      <c r="K2" s="1">
        <v>3</v>
      </c>
      <c r="L2" s="1">
        <v>0</v>
      </c>
      <c r="M2" s="1">
        <v>5</v>
      </c>
      <c r="N2" s="1">
        <v>0</v>
      </c>
    </row>
    <row r="3" spans="1:14" x14ac:dyDescent="0.25">
      <c r="A3" s="1">
        <v>2</v>
      </c>
      <c r="B3" s="1" t="s">
        <v>30</v>
      </c>
      <c r="C3" s="1">
        <v>7.3</v>
      </c>
      <c r="D3" s="1">
        <v>2</v>
      </c>
      <c r="E3" s="1">
        <v>3</v>
      </c>
      <c r="F3" s="1">
        <v>7</v>
      </c>
      <c r="G3" s="1">
        <v>23</v>
      </c>
      <c r="H3" s="1">
        <v>2</v>
      </c>
      <c r="I3" s="1">
        <v>2</v>
      </c>
      <c r="J3" s="1">
        <v>3</v>
      </c>
      <c r="K3" s="1">
        <v>7</v>
      </c>
      <c r="L3" s="1">
        <v>23</v>
      </c>
      <c r="M3" s="1">
        <v>2</v>
      </c>
      <c r="N3" s="1">
        <v>0</v>
      </c>
    </row>
    <row r="4" spans="1:14" x14ac:dyDescent="0.25">
      <c r="A4" s="1">
        <v>3</v>
      </c>
      <c r="B4" s="1" t="s">
        <v>30</v>
      </c>
      <c r="C4" s="1">
        <v>1.2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0</v>
      </c>
      <c r="J4" s="1">
        <v>0</v>
      </c>
      <c r="K4" s="1">
        <v>0</v>
      </c>
      <c r="L4" s="1">
        <v>0</v>
      </c>
      <c r="M4" s="1">
        <v>4</v>
      </c>
      <c r="N4" s="1">
        <v>0</v>
      </c>
    </row>
    <row r="7" spans="1:14" x14ac:dyDescent="0.25">
      <c r="A7" s="1" t="s">
        <v>31</v>
      </c>
    </row>
    <row r="9" spans="1:14" x14ac:dyDescent="0.25">
      <c r="A9" s="1" t="s">
        <v>32</v>
      </c>
    </row>
    <row r="10" spans="1:14" x14ac:dyDescent="0.25">
      <c r="A10" s="1" t="s">
        <v>33</v>
      </c>
    </row>
    <row r="11" spans="1:14" x14ac:dyDescent="0.25">
      <c r="A11" s="1" t="s">
        <v>34</v>
      </c>
    </row>
    <row r="12" spans="1:14" x14ac:dyDescent="0.25">
      <c r="A12" s="1" t="s">
        <v>35</v>
      </c>
    </row>
    <row r="14" spans="1:14" ht="15.75" customHeight="1" x14ac:dyDescent="0.25">
      <c r="A14" s="6" t="s">
        <v>45</v>
      </c>
    </row>
    <row r="15" spans="1:14" ht="15.75" customHeight="1" x14ac:dyDescent="0.25">
      <c r="A15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SampleClassDataSet2526</vt:lpstr>
      <vt:lpstr>examples and explanations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Betteridge</dc:creator>
  <cp:lastModifiedBy>Joel Betteridge</cp:lastModifiedBy>
  <dcterms:created xsi:type="dcterms:W3CDTF">2026-03-19T14:29:55Z</dcterms:created>
  <dcterms:modified xsi:type="dcterms:W3CDTF">2026-03-19T14:29:55Z</dcterms:modified>
</cp:coreProperties>
</file>